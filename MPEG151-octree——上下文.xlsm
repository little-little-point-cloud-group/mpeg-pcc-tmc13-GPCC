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IDCM\"/>
    </mc:Choice>
  </mc:AlternateContent>
  <xr:revisionPtr revIDLastSave="0" documentId="13_ncr:1_{79277C41-4CE5-4F48-93BE-62092A783E5D}" xr6:coauthVersionLast="47" xr6:coauthVersionMax="47" xr10:uidLastSave="{00000000-0000-0000-0000-000000000000}"/>
  <bookViews>
    <workbookView xWindow="5508" yWindow="3552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E27" i="25"/>
  <c r="AC26" i="25"/>
  <c r="E26" i="25"/>
  <c r="AC25" i="25"/>
  <c r="AC7" i="25" s="1"/>
  <c r="E25" i="25"/>
  <c r="AC24" i="25"/>
  <c r="AC6" i="25" s="1"/>
  <c r="E24" i="25"/>
  <c r="AC23" i="25"/>
  <c r="E23" i="25"/>
  <c r="E5" i="25" s="1"/>
  <c r="BB21" i="25"/>
  <c r="AZ21" i="25"/>
  <c r="AY21" i="25"/>
  <c r="AX21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E21" i="25" s="1"/>
  <c r="BD16" i="25"/>
  <c r="BD21" i="25" s="1"/>
  <c r="BC16" i="25"/>
  <c r="BC21" i="25" s="1"/>
  <c r="BB16" i="25"/>
  <c r="BA16" i="25"/>
  <c r="BA21" i="25" s="1"/>
  <c r="AZ16" i="25"/>
  <c r="AY16" i="25"/>
  <c r="AX16" i="25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AC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E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AC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E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E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E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AC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AC9" i="24" s="1"/>
  <c r="E27" i="24"/>
  <c r="E9" i="24" s="1"/>
  <c r="AC26" i="24"/>
  <c r="AC8" i="24" s="1"/>
  <c r="E26" i="24"/>
  <c r="AC25" i="24"/>
  <c r="E25" i="24"/>
  <c r="E7" i="24" s="1"/>
  <c r="AC24" i="24"/>
  <c r="E24" i="24"/>
  <c r="AC23" i="24"/>
  <c r="AC5" i="24" s="1"/>
  <c r="E23" i="24"/>
  <c r="E5" i="24" s="1"/>
  <c r="BE21" i="24"/>
  <c r="BD21" i="24"/>
  <c r="BC21" i="24"/>
  <c r="BB21" i="24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AZ17" i="24"/>
  <c r="AY17" i="24"/>
  <c r="AX17" i="24"/>
  <c r="BE16" i="24"/>
  <c r="BD16" i="24"/>
  <c r="BC16" i="24"/>
  <c r="BB16" i="24"/>
  <c r="BA16" i="24"/>
  <c r="BA21" i="24" s="1"/>
  <c r="AZ16" i="24"/>
  <c r="AZ21" i="24" s="1"/>
  <c r="AY16" i="24"/>
  <c r="AY21" i="24" s="1"/>
  <c r="AX16" i="24"/>
  <c r="AX21" i="24" s="1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AC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E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AC9" i="23" s="1"/>
  <c r="E27" i="23"/>
  <c r="E9" i="23" s="1"/>
  <c r="AC26" i="23"/>
  <c r="E26" i="23"/>
  <c r="E8" i="23" s="1"/>
  <c r="AC25" i="23"/>
  <c r="E25" i="23"/>
  <c r="E7" i="23" s="1"/>
  <c r="AC24" i="23"/>
  <c r="AC6" i="23" s="1"/>
  <c r="E24" i="23"/>
  <c r="E6" i="23" s="1"/>
  <c r="AC23" i="23"/>
  <c r="AC5" i="23" s="1"/>
  <c r="E23" i="23"/>
  <c r="AX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E21" i="23" s="1"/>
  <c r="BD16" i="23"/>
  <c r="BD21" i="23" s="1"/>
  <c r="BC16" i="23"/>
  <c r="BC21" i="23" s="1"/>
  <c r="BB16" i="23"/>
  <c r="BB21" i="23" s="1"/>
  <c r="BA16" i="23"/>
  <c r="BA21" i="23" s="1"/>
  <c r="AZ16" i="23"/>
  <c r="AZ21" i="23" s="1"/>
  <c r="AY16" i="23"/>
  <c r="AY21" i="23" s="1"/>
  <c r="AX16" i="23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AC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AC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E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AC9" i="22" s="1"/>
  <c r="E27" i="22"/>
  <c r="E9" i="22" s="1"/>
  <c r="AC26" i="22"/>
  <c r="E26" i="22"/>
  <c r="E8" i="22" s="1"/>
  <c r="AC25" i="22"/>
  <c r="E25" i="22"/>
  <c r="AC24" i="22"/>
  <c r="E24" i="22"/>
  <c r="AC23" i="22"/>
  <c r="AC5" i="22" s="1"/>
  <c r="E23" i="22"/>
  <c r="BC21" i="22"/>
  <c r="BB21" i="22"/>
  <c r="BA21" i="22"/>
  <c r="AX21" i="22"/>
  <c r="BE19" i="22"/>
  <c r="BD19" i="22"/>
  <c r="BC19" i="22"/>
  <c r="BB19" i="22"/>
  <c r="BA19" i="22"/>
  <c r="AZ19" i="22"/>
  <c r="AY19" i="22"/>
  <c r="AX19" i="22"/>
  <c r="BE18" i="22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Y17" i="22"/>
  <c r="AX17" i="22"/>
  <c r="BE16" i="22"/>
  <c r="BE21" i="22" s="1"/>
  <c r="BD16" i="22"/>
  <c r="BD21" i="22" s="1"/>
  <c r="BC16" i="22"/>
  <c r="BB16" i="22"/>
  <c r="BA16" i="22"/>
  <c r="AZ16" i="22"/>
  <c r="AZ21" i="22" s="1"/>
  <c r="AY16" i="22"/>
  <c r="AY21" i="22" s="1"/>
  <c r="AX16" i="22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AC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AC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AC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E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E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AC26" i="21"/>
  <c r="E26" i="21"/>
  <c r="E8" i="21" s="1"/>
  <c r="AC25" i="21"/>
  <c r="E25" i="21"/>
  <c r="AC24" i="21"/>
  <c r="E24" i="21"/>
  <c r="AC23" i="21"/>
  <c r="AC5" i="21" s="1"/>
  <c r="E23" i="21"/>
  <c r="BC21" i="21"/>
  <c r="BB21" i="21"/>
  <c r="BA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E21" i="21" s="1"/>
  <c r="BD16" i="21"/>
  <c r="BD21" i="21" s="1"/>
  <c r="BC16" i="21"/>
  <c r="BB16" i="21"/>
  <c r="BA16" i="21"/>
  <c r="AZ16" i="21"/>
  <c r="AZ21" i="21" s="1"/>
  <c r="AY16" i="21"/>
  <c r="AY21" i="21" s="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E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AC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AC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E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AC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E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E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AC9" i="20" s="1"/>
  <c r="E27" i="20"/>
  <c r="E9" i="20" s="1"/>
  <c r="AC26" i="20"/>
  <c r="AC8" i="20" s="1"/>
  <c r="E26" i="20"/>
  <c r="E8" i="20" s="1"/>
  <c r="AC25" i="20"/>
  <c r="AC7" i="20" s="1"/>
  <c r="E25" i="20"/>
  <c r="AC24" i="20"/>
  <c r="AC6" i="20" s="1"/>
  <c r="E24" i="20"/>
  <c r="E6" i="20" s="1"/>
  <c r="AC23" i="20"/>
  <c r="AC5" i="20" s="1"/>
  <c r="E23" i="20"/>
  <c r="BA21" i="20"/>
  <c r="AY21" i="20"/>
  <c r="BE19" i="20"/>
  <c r="BD19" i="20"/>
  <c r="BC19" i="20"/>
  <c r="BB19" i="20"/>
  <c r="BA19" i="20"/>
  <c r="AZ19" i="20"/>
  <c r="AY19" i="20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E21" i="20" s="1"/>
  <c r="BD16" i="20"/>
  <c r="BD21" i="20" s="1"/>
  <c r="BC16" i="20"/>
  <c r="BC21" i="20" s="1"/>
  <c r="BB16" i="20"/>
  <c r="BB21" i="20" s="1"/>
  <c r="BA16" i="20"/>
  <c r="AZ16" i="20"/>
  <c r="AZ21" i="20" s="1"/>
  <c r="AY16" i="20"/>
  <c r="AX16" i="20"/>
  <c r="AX21" i="20" s="1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E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E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E27" i="19"/>
  <c r="AC26" i="19"/>
  <c r="AC8" i="19" s="1"/>
  <c r="E26" i="19"/>
  <c r="E8" i="19" s="1"/>
  <c r="AC25" i="19"/>
  <c r="AC7" i="19" s="1"/>
  <c r="E25" i="19"/>
  <c r="E7" i="19" s="1"/>
  <c r="AC24" i="19"/>
  <c r="E24" i="19"/>
  <c r="AC23" i="19"/>
  <c r="AC5" i="19" s="1"/>
  <c r="E23" i="19"/>
  <c r="E5" i="19" s="1"/>
  <c r="BD21" i="19"/>
  <c r="BB21" i="19"/>
  <c r="BA21" i="19"/>
  <c r="AZ21" i="19"/>
  <c r="AY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BE16" i="19"/>
  <c r="BE21" i="19" s="1"/>
  <c r="BD16" i="19"/>
  <c r="BC16" i="19"/>
  <c r="BC21" i="19" s="1"/>
  <c r="BB16" i="19"/>
  <c r="BA16" i="19"/>
  <c r="AZ16" i="19"/>
  <c r="AY16" i="19"/>
  <c r="AX16" i="19"/>
  <c r="AX21" i="19" s="1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AC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E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AC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E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E27" i="18"/>
  <c r="AC26" i="18"/>
  <c r="E26" i="18"/>
  <c r="AC25" i="18"/>
  <c r="AC7" i="18" s="1"/>
  <c r="E25" i="18"/>
  <c r="AC24" i="18"/>
  <c r="AC6" i="18" s="1"/>
  <c r="E24" i="18"/>
  <c r="E6" i="18" s="1"/>
  <c r="AC23" i="18"/>
  <c r="AC5" i="18" s="1"/>
  <c r="E23" i="18"/>
  <c r="E5" i="18" s="1"/>
  <c r="BE21" i="18"/>
  <c r="BD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B17" i="18"/>
  <c r="BA17" i="18"/>
  <c r="AZ17" i="18"/>
  <c r="AY17" i="18"/>
  <c r="AX17" i="18"/>
  <c r="BE16" i="18"/>
  <c r="BD16" i="18"/>
  <c r="BC16" i="18"/>
  <c r="BC21" i="18" s="1"/>
  <c r="BB16" i="18"/>
  <c r="BB21" i="18" s="1"/>
  <c r="BA16" i="18"/>
  <c r="BA21" i="18" s="1"/>
  <c r="AZ16" i="18"/>
  <c r="AZ21" i="18" s="1"/>
  <c r="AY16" i="18"/>
  <c r="AY21" i="18" s="1"/>
  <c r="AX16" i="18"/>
  <c r="AX21" i="18" s="1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AC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E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AC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E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E27" i="17"/>
  <c r="AC26" i="17"/>
  <c r="AC8" i="17" s="1"/>
  <c r="E26" i="17"/>
  <c r="AC25" i="17"/>
  <c r="AC7" i="17" s="1"/>
  <c r="E25" i="17"/>
  <c r="E7" i="17" s="1"/>
  <c r="AC24" i="17"/>
  <c r="AC6" i="17" s="1"/>
  <c r="E24" i="17"/>
  <c r="AC23" i="17"/>
  <c r="E23" i="17"/>
  <c r="BD21" i="17"/>
  <c r="BB21" i="17"/>
  <c r="AZ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E21" i="17" s="1"/>
  <c r="BD16" i="17"/>
  <c r="BC16" i="17"/>
  <c r="BC21" i="17" s="1"/>
  <c r="BB16" i="17"/>
  <c r="BA16" i="17"/>
  <c r="BA21" i="17" s="1"/>
  <c r="AZ16" i="17"/>
  <c r="AY16" i="17"/>
  <c r="AY21" i="17" s="1"/>
  <c r="AX16" i="17"/>
  <c r="AX21" i="17" s="1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AC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E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E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AC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E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E9" i="16" s="1"/>
  <c r="AC26" i="16"/>
  <c r="E26" i="16"/>
  <c r="AC25" i="16"/>
  <c r="E25" i="16"/>
  <c r="AC24" i="16"/>
  <c r="AC6" i="16" s="1"/>
  <c r="E24" i="16"/>
  <c r="AC23" i="16"/>
  <c r="AC5" i="16" s="1"/>
  <c r="E23" i="16"/>
  <c r="E5" i="16" s="1"/>
  <c r="BE21" i="16"/>
  <c r="BD21" i="16"/>
  <c r="AZ21" i="16"/>
  <c r="AY21" i="16"/>
  <c r="AX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C17" i="16"/>
  <c r="BB17" i="16"/>
  <c r="BA17" i="16"/>
  <c r="AZ17" i="16"/>
  <c r="AY17" i="16"/>
  <c r="AX17" i="16"/>
  <c r="BE16" i="16"/>
  <c r="BD16" i="16"/>
  <c r="BC16" i="16"/>
  <c r="BC21" i="16" s="1"/>
  <c r="BB16" i="16"/>
  <c r="BB21" i="16" s="1"/>
  <c r="BA16" i="16"/>
  <c r="BA21" i="16" s="1"/>
  <c r="AZ16" i="16"/>
  <c r="AY16" i="16"/>
  <c r="AX16" i="16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AC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AC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E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E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E27" i="15"/>
  <c r="E9" i="15" s="1"/>
  <c r="AC26" i="15"/>
  <c r="AC8" i="15" s="1"/>
  <c r="E26" i="15"/>
  <c r="E8" i="15" s="1"/>
  <c r="AC25" i="15"/>
  <c r="E25" i="15"/>
  <c r="E7" i="15" s="1"/>
  <c r="AC24" i="15"/>
  <c r="AC6" i="15" s="1"/>
  <c r="E24" i="15"/>
  <c r="E6" i="15" s="1"/>
  <c r="AC23" i="15"/>
  <c r="E23" i="15"/>
  <c r="BE21" i="15"/>
  <c r="BD21" i="15"/>
  <c r="AX21" i="15"/>
  <c r="BE19" i="15"/>
  <c r="BD19" i="15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D16" i="15"/>
  <c r="BC16" i="15"/>
  <c r="BC21" i="15" s="1"/>
  <c r="BB16" i="15"/>
  <c r="BB21" i="15" s="1"/>
  <c r="BA16" i="15"/>
  <c r="BA21" i="15" s="1"/>
  <c r="AZ16" i="15"/>
  <c r="AZ21" i="15" s="1"/>
  <c r="AY16" i="15"/>
  <c r="AY21" i="15" s="1"/>
  <c r="AX16" i="15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AC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AC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AC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E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AC9" i="14" s="1"/>
  <c r="E27" i="14"/>
  <c r="E9" i="14" s="1"/>
  <c r="AC26" i="14"/>
  <c r="AC8" i="14" s="1"/>
  <c r="E26" i="14"/>
  <c r="AC25" i="14"/>
  <c r="E25" i="14"/>
  <c r="AC24" i="14"/>
  <c r="AC6" i="14" s="1"/>
  <c r="E24" i="14"/>
  <c r="E6" i="14" s="1"/>
  <c r="AC23" i="14"/>
  <c r="AC5" i="14" s="1"/>
  <c r="E23" i="14"/>
  <c r="BD21" i="14"/>
  <c r="BA21" i="14"/>
  <c r="AY21" i="14"/>
  <c r="AX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E21" i="14" s="1"/>
  <c r="BD16" i="14"/>
  <c r="BC16" i="14"/>
  <c r="BC21" i="14" s="1"/>
  <c r="BB16" i="14"/>
  <c r="BB21" i="14" s="1"/>
  <c r="BA16" i="14"/>
  <c r="AZ16" i="14"/>
  <c r="AZ21" i="14" s="1"/>
  <c r="AY16" i="14"/>
  <c r="AX16" i="14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AC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E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AC9" i="13" s="1"/>
  <c r="E27" i="13"/>
  <c r="E9" i="13" s="1"/>
  <c r="AC26" i="13"/>
  <c r="AC8" i="13" s="1"/>
  <c r="E26" i="13"/>
  <c r="AC25" i="13"/>
  <c r="E25" i="13"/>
  <c r="AC24" i="13"/>
  <c r="AC6" i="13" s="1"/>
  <c r="E24" i="13"/>
  <c r="AC23" i="13"/>
  <c r="E23" i="13"/>
  <c r="BD21" i="13"/>
  <c r="BC21" i="13"/>
  <c r="BB21" i="13"/>
  <c r="BA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E21" i="13" s="1"/>
  <c r="BD16" i="13"/>
  <c r="BC16" i="13"/>
  <c r="BB16" i="13"/>
  <c r="BA16" i="13"/>
  <c r="AZ16" i="13"/>
  <c r="AZ21" i="13" s="1"/>
  <c r="AY16" i="13"/>
  <c r="AY21" i="13" s="1"/>
  <c r="AX16" i="13"/>
  <c r="AX21" i="13" s="1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E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AC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E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AC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E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AC9" i="12" s="1"/>
  <c r="E27" i="12"/>
  <c r="E9" i="12" s="1"/>
  <c r="AC26" i="12"/>
  <c r="AC8" i="12" s="1"/>
  <c r="E26" i="12"/>
  <c r="AC25" i="12"/>
  <c r="AC7" i="12" s="1"/>
  <c r="E25" i="12"/>
  <c r="E7" i="12" s="1"/>
  <c r="AC24" i="12"/>
  <c r="E24" i="12"/>
  <c r="E6" i="12" s="1"/>
  <c r="AC23" i="12"/>
  <c r="AC5" i="12" s="1"/>
  <c r="E23" i="12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E21" i="12" s="1"/>
  <c r="BD16" i="12"/>
  <c r="BD21" i="12" s="1"/>
  <c r="BC16" i="12"/>
  <c r="BC21" i="12" s="1"/>
  <c r="BB16" i="12"/>
  <c r="BB21" i="12" s="1"/>
  <c r="BA16" i="12"/>
  <c r="BA21" i="12" s="1"/>
  <c r="AZ16" i="12"/>
  <c r="AZ21" i="12" s="1"/>
  <c r="AY16" i="12"/>
  <c r="AY21" i="12" s="1"/>
  <c r="AX16" i="12"/>
  <c r="AX21" i="12" s="1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E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AC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E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E27" i="11"/>
  <c r="AC26" i="11"/>
  <c r="AC8" i="11" s="1"/>
  <c r="E26" i="11"/>
  <c r="AC25" i="11"/>
  <c r="AC7" i="11" s="1"/>
  <c r="E25" i="11"/>
  <c r="AC24" i="11"/>
  <c r="E24" i="11"/>
  <c r="AC23" i="11"/>
  <c r="E23" i="11"/>
  <c r="E5" i="11" s="1"/>
  <c r="BD21" i="11"/>
  <c r="BB21" i="11"/>
  <c r="AX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E21" i="11" s="1"/>
  <c r="BD16" i="11"/>
  <c r="BC16" i="11"/>
  <c r="BC21" i="11" s="1"/>
  <c r="BB16" i="11"/>
  <c r="BA16" i="11"/>
  <c r="BA21" i="11" s="1"/>
  <c r="AZ16" i="11"/>
  <c r="AZ21" i="11" s="1"/>
  <c r="AY16" i="11"/>
  <c r="AY21" i="11" s="1"/>
  <c r="AX16" i="1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AC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E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E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E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AC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E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AC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AC26" i="10"/>
  <c r="E26" i="10"/>
  <c r="AC25" i="10"/>
  <c r="AC7" i="10" s="1"/>
  <c r="E25" i="10"/>
  <c r="AC24" i="10"/>
  <c r="AC6" i="10" s="1"/>
  <c r="E24" i="10"/>
  <c r="AC23" i="10"/>
  <c r="AC5" i="10" s="1"/>
  <c r="E23" i="10"/>
  <c r="BC21" i="10"/>
  <c r="BB21" i="10"/>
  <c r="BA21" i="10"/>
  <c r="AZ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E21" i="10" s="1"/>
  <c r="BD16" i="10"/>
  <c r="BD21" i="10" s="1"/>
  <c r="BC16" i="10"/>
  <c r="BB16" i="10"/>
  <c r="BA16" i="10"/>
  <c r="AZ16" i="10"/>
  <c r="AY16" i="10"/>
  <c r="AY21" i="10" s="1"/>
  <c r="AX16" i="10"/>
  <c r="AX21" i="10" s="1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E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AC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E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E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E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E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E27" i="9"/>
  <c r="E9" i="9" s="1"/>
  <c r="AC26" i="9"/>
  <c r="E26" i="9"/>
  <c r="E8" i="9" s="1"/>
  <c r="AC25" i="9"/>
  <c r="E25" i="9"/>
  <c r="E7" i="9" s="1"/>
  <c r="AC24" i="9"/>
  <c r="AC6" i="9" s="1"/>
  <c r="E24" i="9"/>
  <c r="AC23" i="9"/>
  <c r="E23" i="9"/>
  <c r="E5" i="9" s="1"/>
  <c r="BA21" i="9"/>
  <c r="AX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D17" i="9"/>
  <c r="BC17" i="9"/>
  <c r="BB17" i="9"/>
  <c r="BA17" i="9"/>
  <c r="AZ17" i="9"/>
  <c r="AY17" i="9"/>
  <c r="AX17" i="9"/>
  <c r="BE16" i="9"/>
  <c r="BE21" i="9" s="1"/>
  <c r="BD16" i="9"/>
  <c r="BD21" i="9" s="1"/>
  <c r="BC16" i="9"/>
  <c r="BC21" i="9" s="1"/>
  <c r="BB16" i="9"/>
  <c r="BB21" i="9" s="1"/>
  <c r="BA16" i="9"/>
  <c r="AZ16" i="9"/>
  <c r="AZ21" i="9" s="1"/>
  <c r="AY16" i="9"/>
  <c r="AY21" i="9" s="1"/>
  <c r="AX16" i="9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AC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AC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AC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E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AC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AC9" i="8" s="1"/>
  <c r="E27" i="8"/>
  <c r="AC26" i="8"/>
  <c r="E26" i="8"/>
  <c r="AC25" i="8"/>
  <c r="AC7" i="8" s="1"/>
  <c r="E25" i="8"/>
  <c r="E7" i="8" s="1"/>
  <c r="AC24" i="8"/>
  <c r="E24" i="8"/>
  <c r="AC23" i="8"/>
  <c r="E23" i="8"/>
  <c r="E5" i="8" s="1"/>
  <c r="BE19" i="8"/>
  <c r="BD19" i="8"/>
  <c r="BC19" i="8"/>
  <c r="BB19" i="8"/>
  <c r="BA19" i="8"/>
  <c r="AZ19" i="8"/>
  <c r="AY19" i="8"/>
  <c r="AX19" i="8"/>
  <c r="BE18" i="8"/>
  <c r="BD18" i="8"/>
  <c r="BC18" i="8"/>
  <c r="BC21" i="8" s="1"/>
  <c r="BB18" i="8"/>
  <c r="BA18" i="8"/>
  <c r="AZ18" i="8"/>
  <c r="AY18" i="8"/>
  <c r="AX18" i="8"/>
  <c r="BE17" i="8"/>
  <c r="BD17" i="8"/>
  <c r="BC17" i="8"/>
  <c r="BB17" i="8"/>
  <c r="BB21" i="8" s="1"/>
  <c r="BA17" i="8"/>
  <c r="BA21" i="8" s="1"/>
  <c r="AZ17" i="8"/>
  <c r="AY17" i="8"/>
  <c r="AX17" i="8"/>
  <c r="BE16" i="8"/>
  <c r="BE21" i="8" s="1"/>
  <c r="BD16" i="8"/>
  <c r="BC16" i="8"/>
  <c r="BB16" i="8"/>
  <c r="BA16" i="8"/>
  <c r="AZ16" i="8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E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AC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E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AC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AC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AC9" i="7" s="1"/>
  <c r="E27" i="7"/>
  <c r="AC26" i="7"/>
  <c r="AC8" i="7" s="1"/>
  <c r="E26" i="7"/>
  <c r="AC25" i="7"/>
  <c r="E25" i="7"/>
  <c r="AC24" i="7"/>
  <c r="E24" i="7"/>
  <c r="E6" i="7" s="1"/>
  <c r="AC23" i="7"/>
  <c r="AC5" i="7" s="1"/>
  <c r="E23" i="7"/>
  <c r="E5" i="7" s="1"/>
  <c r="BE19" i="7"/>
  <c r="BD19" i="7"/>
  <c r="BC19" i="7"/>
  <c r="BB19" i="7"/>
  <c r="BA19" i="7"/>
  <c r="AZ19" i="7"/>
  <c r="AY19" i="7"/>
  <c r="AX19" i="7"/>
  <c r="BE18" i="7"/>
  <c r="BE21" i="7" s="1"/>
  <c r="BD18" i="7"/>
  <c r="BC18" i="7"/>
  <c r="BC21" i="7" s="1"/>
  <c r="BB18" i="7"/>
  <c r="BA18" i="7"/>
  <c r="AZ18" i="7"/>
  <c r="AY18" i="7"/>
  <c r="AX18" i="7"/>
  <c r="AX21" i="7" s="1"/>
  <c r="BE17" i="7"/>
  <c r="BD17" i="7"/>
  <c r="BC17" i="7"/>
  <c r="BB17" i="7"/>
  <c r="BA17" i="7"/>
  <c r="AZ17" i="7"/>
  <c r="AY17" i="7"/>
  <c r="AX17" i="7"/>
  <c r="BE16" i="7"/>
  <c r="BD16" i="7"/>
  <c r="BC16" i="7"/>
  <c r="BB16" i="7"/>
  <c r="BA16" i="7"/>
  <c r="AZ16" i="7"/>
  <c r="AZ21" i="7" s="1"/>
  <c r="AY16" i="7"/>
  <c r="AX16" i="7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E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AC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AC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AC9" i="6" s="1"/>
  <c r="E27" i="6"/>
  <c r="AC26" i="6"/>
  <c r="AC8" i="6" s="1"/>
  <c r="E26" i="6"/>
  <c r="AC25" i="6"/>
  <c r="AC7" i="6" s="1"/>
  <c r="E25" i="6"/>
  <c r="AC24" i="6"/>
  <c r="E24" i="6"/>
  <c r="E6" i="6" s="1"/>
  <c r="AC23" i="6"/>
  <c r="E23" i="6"/>
  <c r="AZ21" i="6"/>
  <c r="AY21" i="6"/>
  <c r="AX21" i="6"/>
  <c r="BE19" i="6"/>
  <c r="BD19" i="6"/>
  <c r="BC19" i="6"/>
  <c r="BB19" i="6"/>
  <c r="BA19" i="6"/>
  <c r="AZ19" i="6"/>
  <c r="AY19" i="6"/>
  <c r="AX19" i="6"/>
  <c r="BE18" i="6"/>
  <c r="BD18" i="6"/>
  <c r="BC18" i="6"/>
  <c r="BB18" i="6"/>
  <c r="BA18" i="6"/>
  <c r="BA21" i="6" s="1"/>
  <c r="AZ18" i="6"/>
  <c r="AY18" i="6"/>
  <c r="AX18" i="6"/>
  <c r="BE17" i="6"/>
  <c r="BD17" i="6"/>
  <c r="BC17" i="6"/>
  <c r="BB17" i="6"/>
  <c r="BA17" i="6"/>
  <c r="AZ17" i="6"/>
  <c r="AY17" i="6"/>
  <c r="AX17" i="6"/>
  <c r="BE16" i="6"/>
  <c r="BE21" i="6" s="1"/>
  <c r="BD16" i="6"/>
  <c r="BD21" i="6" s="1"/>
  <c r="BC16" i="6"/>
  <c r="BC21" i="6" s="1"/>
  <c r="BB16" i="6"/>
  <c r="BB21" i="6" s="1"/>
  <c r="BA16" i="6"/>
  <c r="AZ16" i="6"/>
  <c r="AY16" i="6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E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E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AC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AC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E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E27" i="5"/>
  <c r="AC26" i="5"/>
  <c r="E26" i="5"/>
  <c r="AC25" i="5"/>
  <c r="E25" i="5"/>
  <c r="AC24" i="5"/>
  <c r="E24" i="5"/>
  <c r="AC23" i="5"/>
  <c r="AC5" i="5" s="1"/>
  <c r="E23" i="5"/>
  <c r="BB21" i="5"/>
  <c r="BA21" i="5"/>
  <c r="AZ21" i="5"/>
  <c r="BE19" i="5"/>
  <c r="BD19" i="5"/>
  <c r="BC19" i="5"/>
  <c r="BB19" i="5"/>
  <c r="BA19" i="5"/>
  <c r="AZ19" i="5"/>
  <c r="AY19" i="5"/>
  <c r="AX19" i="5"/>
  <c r="BE18" i="5"/>
  <c r="BD18" i="5"/>
  <c r="BC18" i="5"/>
  <c r="BC21" i="5" s="1"/>
  <c r="BB18" i="5"/>
  <c r="BA18" i="5"/>
  <c r="AZ18" i="5"/>
  <c r="AY18" i="5"/>
  <c r="AX18" i="5"/>
  <c r="BE17" i="5"/>
  <c r="BD17" i="5"/>
  <c r="BC17" i="5"/>
  <c r="BB17" i="5"/>
  <c r="BA17" i="5"/>
  <c r="AZ17" i="5"/>
  <c r="AY17" i="5"/>
  <c r="AY21" i="5" s="1"/>
  <c r="AX17" i="5"/>
  <c r="AX21" i="5" s="1"/>
  <c r="BE16" i="5"/>
  <c r="BE21" i="5" s="1"/>
  <c r="BD16" i="5"/>
  <c r="BD21" i="5" s="1"/>
  <c r="BC16" i="5"/>
  <c r="BB16" i="5"/>
  <c r="BA16" i="5"/>
  <c r="AZ16" i="5"/>
  <c r="AY16" i="5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AC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AC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AC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AC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E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E5" i="5"/>
  <c r="AX2" i="5"/>
  <c r="AA2" i="5"/>
  <c r="Z2" i="5"/>
  <c r="C2" i="5"/>
  <c r="M233" i="4"/>
  <c r="L233" i="4"/>
  <c r="B227" i="4"/>
  <c r="F224" i="4"/>
  <c r="F227" i="4" s="1"/>
  <c r="F228" i="4" s="1"/>
  <c r="F229" i="4" s="1"/>
  <c r="F230" i="4" s="1"/>
  <c r="F231" i="4" s="1"/>
  <c r="M222" i="4"/>
  <c r="L222" i="4"/>
  <c r="B219" i="4"/>
  <c r="B218" i="4"/>
  <c r="B217" i="4"/>
  <c r="B216" i="4"/>
  <c r="F213" i="4"/>
  <c r="M211" i="4"/>
  <c r="L211" i="4"/>
  <c r="F208" i="4"/>
  <c r="F209" i="4" s="1"/>
  <c r="B206" i="4"/>
  <c r="B205" i="4"/>
  <c r="F202" i="4"/>
  <c r="F205" i="4" s="1"/>
  <c r="F206" i="4" s="1"/>
  <c r="F207" i="4" s="1"/>
  <c r="M200" i="4"/>
  <c r="L200" i="4"/>
  <c r="B195" i="4"/>
  <c r="B194" i="4"/>
  <c r="F191" i="4"/>
  <c r="F194" i="4" s="1"/>
  <c r="F195" i="4" s="1"/>
  <c r="F196" i="4" s="1"/>
  <c r="F197" i="4" s="1"/>
  <c r="F198" i="4" s="1"/>
  <c r="M189" i="4"/>
  <c r="L189" i="4"/>
  <c r="F186" i="4"/>
  <c r="F187" i="4" s="1"/>
  <c r="F183" i="4"/>
  <c r="F184" i="4" s="1"/>
  <c r="F185" i="4" s="1"/>
  <c r="B183" i="4"/>
  <c r="F180" i="4"/>
  <c r="L180" i="4" s="1"/>
  <c r="M178" i="4"/>
  <c r="L178" i="4"/>
  <c r="B176" i="4"/>
  <c r="B175" i="4"/>
  <c r="B174" i="4"/>
  <c r="B173" i="4"/>
  <c r="B172" i="4"/>
  <c r="F169" i="4"/>
  <c r="M167" i="4"/>
  <c r="L167" i="4"/>
  <c r="F165" i="4"/>
  <c r="F164" i="4"/>
  <c r="B161" i="4"/>
  <c r="L160" i="4"/>
  <c r="L158" i="4"/>
  <c r="F158" i="4"/>
  <c r="F161" i="4" s="1"/>
  <c r="F162" i="4" s="1"/>
  <c r="F163" i="4" s="1"/>
  <c r="M156" i="4"/>
  <c r="L156" i="4"/>
  <c r="B151" i="4"/>
  <c r="B150" i="4"/>
  <c r="F147" i="4"/>
  <c r="L147" i="4" s="1"/>
  <c r="L149" i="4" s="1"/>
  <c r="M145" i="4"/>
  <c r="L145" i="4"/>
  <c r="F141" i="4"/>
  <c r="F142" i="4" s="1"/>
  <c r="F143" i="4" s="1"/>
  <c r="F139" i="4"/>
  <c r="F140" i="4" s="1"/>
  <c r="B139" i="4"/>
  <c r="L136" i="4"/>
  <c r="F136" i="4"/>
  <c r="M134" i="4"/>
  <c r="L134" i="4"/>
  <c r="B130" i="4"/>
  <c r="B129" i="4"/>
  <c r="B128" i="4"/>
  <c r="F125" i="4"/>
  <c r="F128" i="4" s="1"/>
  <c r="F129" i="4" s="1"/>
  <c r="F130" i="4" s="1"/>
  <c r="F131" i="4" s="1"/>
  <c r="F132" i="4" s="1"/>
  <c r="M123" i="4"/>
  <c r="L123" i="4"/>
  <c r="F118" i="4"/>
  <c r="F119" i="4" s="1"/>
  <c r="F120" i="4" s="1"/>
  <c r="F121" i="4" s="1"/>
  <c r="B117" i="4"/>
  <c r="F114" i="4"/>
  <c r="F117" i="4" s="1"/>
  <c r="M112" i="4"/>
  <c r="L112" i="4"/>
  <c r="F106" i="4"/>
  <c r="F107" i="4" s="1"/>
  <c r="F108" i="4" s="1"/>
  <c r="F109" i="4" s="1"/>
  <c r="F110" i="4" s="1"/>
  <c r="B106" i="4"/>
  <c r="L103" i="4"/>
  <c r="L105" i="4" s="1"/>
  <c r="F103" i="4"/>
  <c r="M101" i="4"/>
  <c r="L101" i="4"/>
  <c r="F97" i="4"/>
  <c r="F98" i="4" s="1"/>
  <c r="F99" i="4" s="1"/>
  <c r="F96" i="4"/>
  <c r="F95" i="4"/>
  <c r="B95" i="4"/>
  <c r="L92" i="4"/>
  <c r="F92" i="4"/>
  <c r="M90" i="4"/>
  <c r="L90" i="4"/>
  <c r="B85" i="4"/>
  <c r="B84" i="4"/>
  <c r="F81" i="4"/>
  <c r="F84" i="4" s="1"/>
  <c r="F85" i="4" s="1"/>
  <c r="F86" i="4" s="1"/>
  <c r="F87" i="4" s="1"/>
  <c r="F88" i="4" s="1"/>
  <c r="M79" i="4"/>
  <c r="L79" i="4"/>
  <c r="B74" i="4"/>
  <c r="B73" i="4"/>
  <c r="F70" i="4"/>
  <c r="M68" i="4"/>
  <c r="L68" i="4"/>
  <c r="B62" i="4"/>
  <c r="L59" i="4"/>
  <c r="L61" i="4" s="1"/>
  <c r="F59" i="4"/>
  <c r="F62" i="4" s="1"/>
  <c r="F63" i="4" s="1"/>
  <c r="F64" i="4" s="1"/>
  <c r="F65" i="4" s="1"/>
  <c r="F66" i="4" s="1"/>
  <c r="M57" i="4"/>
  <c r="L57" i="4"/>
  <c r="F51" i="4"/>
  <c r="F52" i="4" s="1"/>
  <c r="F53" i="4" s="1"/>
  <c r="F54" i="4" s="1"/>
  <c r="F55" i="4" s="1"/>
  <c r="B51" i="4"/>
  <c r="F48" i="4"/>
  <c r="L48" i="4" s="1"/>
  <c r="M46" i="4"/>
  <c r="L46" i="4"/>
  <c r="F41" i="4"/>
  <c r="F42" i="4" s="1"/>
  <c r="F43" i="4" s="1"/>
  <c r="F44" i="4" s="1"/>
  <c r="B41" i="4"/>
  <c r="B40" i="4"/>
  <c r="L39" i="4"/>
  <c r="L37" i="4"/>
  <c r="F37" i="4"/>
  <c r="F40" i="4" s="1"/>
  <c r="M35" i="4"/>
  <c r="L35" i="4"/>
  <c r="B30" i="4"/>
  <c r="B29" i="4"/>
  <c r="F26" i="4"/>
  <c r="M24" i="4"/>
  <c r="L24" i="4"/>
  <c r="F22" i="4"/>
  <c r="B19" i="4"/>
  <c r="F18" i="4"/>
  <c r="F19" i="4" s="1"/>
  <c r="F20" i="4" s="1"/>
  <c r="F21" i="4" s="1"/>
  <c r="B18" i="4"/>
  <c r="L15" i="4"/>
  <c r="F15" i="4"/>
  <c r="M13" i="4"/>
  <c r="L13" i="4"/>
  <c r="F9" i="4"/>
  <c r="F10" i="4" s="1"/>
  <c r="F11" i="4" s="1"/>
  <c r="F7" i="4"/>
  <c r="F8" i="4" s="1"/>
  <c r="B7" i="4"/>
  <c r="L6" i="4"/>
  <c r="L4" i="4"/>
  <c r="F4" i="4"/>
  <c r="F2" i="4"/>
  <c r="M182" i="4" s="1"/>
  <c r="B2" i="4"/>
  <c r="M233" i="3"/>
  <c r="L233" i="3"/>
  <c r="F231" i="3"/>
  <c r="F228" i="3"/>
  <c r="F229" i="3" s="1"/>
  <c r="F230" i="3" s="1"/>
  <c r="B227" i="3"/>
  <c r="F224" i="3"/>
  <c r="F227" i="3" s="1"/>
  <c r="M222" i="3"/>
  <c r="L222" i="3"/>
  <c r="F216" i="3"/>
  <c r="F217" i="3" s="1"/>
  <c r="F218" i="3" s="1"/>
  <c r="F219" i="3" s="1"/>
  <c r="F220" i="3" s="1"/>
  <c r="B216" i="3"/>
  <c r="L215" i="3"/>
  <c r="F213" i="3"/>
  <c r="L213" i="3" s="1"/>
  <c r="M211" i="3"/>
  <c r="L211" i="3"/>
  <c r="F206" i="3"/>
  <c r="F207" i="3" s="1"/>
  <c r="F208" i="3" s="1"/>
  <c r="F209" i="3" s="1"/>
  <c r="B206" i="3"/>
  <c r="B205" i="3"/>
  <c r="F202" i="3"/>
  <c r="F205" i="3" s="1"/>
  <c r="M200" i="3"/>
  <c r="L200" i="3"/>
  <c r="F196" i="3"/>
  <c r="F197" i="3" s="1"/>
  <c r="F198" i="3" s="1"/>
  <c r="F194" i="3"/>
  <c r="F195" i="3" s="1"/>
  <c r="B194" i="3"/>
  <c r="L191" i="3"/>
  <c r="F191" i="3"/>
  <c r="M189" i="3"/>
  <c r="L189" i="3"/>
  <c r="F184" i="3"/>
  <c r="F185" i="3" s="1"/>
  <c r="F186" i="3" s="1"/>
  <c r="F187" i="3" s="1"/>
  <c r="B183" i="3"/>
  <c r="F180" i="3"/>
  <c r="F183" i="3" s="1"/>
  <c r="M178" i="3"/>
  <c r="L178" i="3"/>
  <c r="F174" i="3"/>
  <c r="F175" i="3" s="1"/>
  <c r="F176" i="3" s="1"/>
  <c r="B174" i="3"/>
  <c r="F173" i="3"/>
  <c r="B173" i="3"/>
  <c r="F172" i="3"/>
  <c r="B172" i="3"/>
  <c r="F169" i="3"/>
  <c r="L169" i="3" s="1"/>
  <c r="L171" i="3" s="1"/>
  <c r="M167" i="3"/>
  <c r="L167" i="3"/>
  <c r="B162" i="3"/>
  <c r="B161" i="3"/>
  <c r="F158" i="3"/>
  <c r="L158" i="3" s="1"/>
  <c r="L160" i="3" s="1"/>
  <c r="M156" i="3"/>
  <c r="L156" i="3"/>
  <c r="F150" i="3"/>
  <c r="F151" i="3" s="1"/>
  <c r="F152" i="3" s="1"/>
  <c r="F153" i="3" s="1"/>
  <c r="F154" i="3" s="1"/>
  <c r="B150" i="3"/>
  <c r="L147" i="3"/>
  <c r="F147" i="3"/>
  <c r="M145" i="3"/>
  <c r="L145" i="3"/>
  <c r="F140" i="3"/>
  <c r="F141" i="3" s="1"/>
  <c r="F142" i="3" s="1"/>
  <c r="F143" i="3" s="1"/>
  <c r="B139" i="3"/>
  <c r="L136" i="3"/>
  <c r="L138" i="3" s="1"/>
  <c r="F136" i="3"/>
  <c r="F139" i="3" s="1"/>
  <c r="M135" i="3"/>
  <c r="L135" i="3"/>
  <c r="M134" i="3"/>
  <c r="L134" i="3"/>
  <c r="B129" i="3"/>
  <c r="B130" i="3" s="1"/>
  <c r="B128" i="3"/>
  <c r="F125" i="3"/>
  <c r="L125" i="3" s="1"/>
  <c r="M123" i="3"/>
  <c r="L123" i="3"/>
  <c r="B120" i="3"/>
  <c r="B118" i="3"/>
  <c r="B119" i="3" s="1"/>
  <c r="B117" i="3"/>
  <c r="F114" i="3"/>
  <c r="F117" i="3" s="1"/>
  <c r="F118" i="3" s="1"/>
  <c r="F119" i="3" s="1"/>
  <c r="F120" i="3" s="1"/>
  <c r="F121" i="3" s="1"/>
  <c r="M112" i="3"/>
  <c r="L112" i="3"/>
  <c r="B107" i="3"/>
  <c r="B106" i="3"/>
  <c r="F103" i="3"/>
  <c r="M101" i="3"/>
  <c r="L101" i="3"/>
  <c r="B95" i="3"/>
  <c r="F92" i="3"/>
  <c r="F95" i="3" s="1"/>
  <c r="F96" i="3" s="1"/>
  <c r="F97" i="3" s="1"/>
  <c r="F98" i="3" s="1"/>
  <c r="F99" i="3" s="1"/>
  <c r="M90" i="3"/>
  <c r="L90" i="3"/>
  <c r="F88" i="3"/>
  <c r="F86" i="3"/>
  <c r="F87" i="3" s="1"/>
  <c r="F85" i="3"/>
  <c r="B85" i="3"/>
  <c r="F84" i="3"/>
  <c r="B84" i="3"/>
  <c r="F81" i="3"/>
  <c r="L81" i="3" s="1"/>
  <c r="M79" i="3"/>
  <c r="L79" i="3"/>
  <c r="B74" i="3"/>
  <c r="F73" i="3"/>
  <c r="F74" i="3" s="1"/>
  <c r="F75" i="3" s="1"/>
  <c r="F76" i="3" s="1"/>
  <c r="F77" i="3" s="1"/>
  <c r="B73" i="3"/>
  <c r="F70" i="3"/>
  <c r="L70" i="3" s="1"/>
  <c r="L72" i="3" s="1"/>
  <c r="M68" i="3"/>
  <c r="L68" i="3"/>
  <c r="F64" i="3"/>
  <c r="F65" i="3" s="1"/>
  <c r="F66" i="3" s="1"/>
  <c r="B63" i="3"/>
  <c r="F62" i="3"/>
  <c r="F63" i="3" s="1"/>
  <c r="B62" i="3"/>
  <c r="L61" i="3"/>
  <c r="F59" i="3"/>
  <c r="L59" i="3" s="1"/>
  <c r="M57" i="3"/>
  <c r="L57" i="3"/>
  <c r="F54" i="3"/>
  <c r="F55" i="3" s="1"/>
  <c r="F53" i="3"/>
  <c r="B51" i="3"/>
  <c r="F48" i="3"/>
  <c r="F51" i="3" s="1"/>
  <c r="F52" i="3" s="1"/>
  <c r="M46" i="3"/>
  <c r="L46" i="3"/>
  <c r="B41" i="3"/>
  <c r="B42" i="3" s="1"/>
  <c r="F40" i="3"/>
  <c r="F41" i="3" s="1"/>
  <c r="F42" i="3" s="1"/>
  <c r="F43" i="3" s="1"/>
  <c r="F44" i="3" s="1"/>
  <c r="B40" i="3"/>
  <c r="F37" i="3"/>
  <c r="L37" i="3" s="1"/>
  <c r="M35" i="3"/>
  <c r="L35" i="3"/>
  <c r="F32" i="3"/>
  <c r="F33" i="3" s="1"/>
  <c r="B32" i="3"/>
  <c r="B31" i="3"/>
  <c r="F30" i="3"/>
  <c r="F31" i="3" s="1"/>
  <c r="F29" i="3"/>
  <c r="B29" i="3"/>
  <c r="B30" i="3" s="1"/>
  <c r="L26" i="3"/>
  <c r="F26" i="3"/>
  <c r="M24" i="3"/>
  <c r="L24" i="3"/>
  <c r="B18" i="3"/>
  <c r="L15" i="3"/>
  <c r="F15" i="3"/>
  <c r="F18" i="3" s="1"/>
  <c r="F19" i="3" s="1"/>
  <c r="F20" i="3" s="1"/>
  <c r="F21" i="3" s="1"/>
  <c r="F22" i="3" s="1"/>
  <c r="M13" i="3"/>
  <c r="L13" i="3"/>
  <c r="B7" i="3"/>
  <c r="L6" i="3"/>
  <c r="L4" i="3"/>
  <c r="F4" i="3"/>
  <c r="F7" i="3" s="1"/>
  <c r="F8" i="3" s="1"/>
  <c r="F9" i="3" s="1"/>
  <c r="F10" i="3" s="1"/>
  <c r="F11" i="3" s="1"/>
  <c r="F2" i="3"/>
  <c r="M149" i="3" s="1"/>
  <c r="B2" i="3"/>
  <c r="L193" i="3" s="1"/>
  <c r="M233" i="2"/>
  <c r="L233" i="2"/>
  <c r="F229" i="2"/>
  <c r="F230" i="2" s="1"/>
  <c r="F231" i="2" s="1"/>
  <c r="F228" i="2"/>
  <c r="B228" i="2"/>
  <c r="B227" i="2"/>
  <c r="L224" i="2"/>
  <c r="F224" i="2"/>
  <c r="F227" i="2" s="1"/>
  <c r="M222" i="2"/>
  <c r="L222" i="2"/>
  <c r="B217" i="2"/>
  <c r="B216" i="2"/>
  <c r="F213" i="2"/>
  <c r="F216" i="2" s="1"/>
  <c r="F217" i="2" s="1"/>
  <c r="F218" i="2" s="1"/>
  <c r="F219" i="2" s="1"/>
  <c r="F220" i="2" s="1"/>
  <c r="M211" i="2"/>
  <c r="L211" i="2"/>
  <c r="B206" i="2"/>
  <c r="B205" i="2"/>
  <c r="F202" i="2"/>
  <c r="M200" i="2"/>
  <c r="L200" i="2"/>
  <c r="B194" i="2"/>
  <c r="F191" i="2"/>
  <c r="F194" i="2" s="1"/>
  <c r="F195" i="2" s="1"/>
  <c r="F196" i="2" s="1"/>
  <c r="F197" i="2" s="1"/>
  <c r="F198" i="2" s="1"/>
  <c r="M189" i="2"/>
  <c r="L189" i="2"/>
  <c r="F185" i="2"/>
  <c r="F186" i="2" s="1"/>
  <c r="F187" i="2" s="1"/>
  <c r="F184" i="2"/>
  <c r="B184" i="2"/>
  <c r="F183" i="2"/>
  <c r="B183" i="2"/>
  <c r="L180" i="2"/>
  <c r="F180" i="2"/>
  <c r="M178" i="2"/>
  <c r="L178" i="2"/>
  <c r="F176" i="2"/>
  <c r="F172" i="2"/>
  <c r="F173" i="2" s="1"/>
  <c r="F174" i="2" s="1"/>
  <c r="F175" i="2" s="1"/>
  <c r="B172" i="2"/>
  <c r="B173" i="2" s="1"/>
  <c r="M171" i="2"/>
  <c r="F169" i="2"/>
  <c r="L169" i="2" s="1"/>
  <c r="M167" i="2"/>
  <c r="L167" i="2"/>
  <c r="B161" i="2"/>
  <c r="F158" i="2"/>
  <c r="F161" i="2" s="1"/>
  <c r="F162" i="2" s="1"/>
  <c r="F163" i="2" s="1"/>
  <c r="F164" i="2" s="1"/>
  <c r="F165" i="2" s="1"/>
  <c r="M156" i="2"/>
  <c r="L156" i="2"/>
  <c r="F152" i="2"/>
  <c r="F153" i="2" s="1"/>
  <c r="F154" i="2" s="1"/>
  <c r="F151" i="2"/>
  <c r="B151" i="2"/>
  <c r="F150" i="2"/>
  <c r="B150" i="2"/>
  <c r="F147" i="2"/>
  <c r="L147" i="2" s="1"/>
  <c r="M145" i="2"/>
  <c r="L145" i="2"/>
  <c r="F143" i="2"/>
  <c r="F139" i="2"/>
  <c r="F140" i="2" s="1"/>
  <c r="F141" i="2" s="1"/>
  <c r="F142" i="2" s="1"/>
  <c r="B139" i="2"/>
  <c r="L138" i="2"/>
  <c r="L136" i="2"/>
  <c r="F136" i="2"/>
  <c r="M134" i="2"/>
  <c r="L134" i="2"/>
  <c r="B128" i="2"/>
  <c r="F125" i="2"/>
  <c r="F128" i="2" s="1"/>
  <c r="F129" i="2" s="1"/>
  <c r="F130" i="2" s="1"/>
  <c r="F131" i="2" s="1"/>
  <c r="F132" i="2" s="1"/>
  <c r="M123" i="2"/>
  <c r="L123" i="2"/>
  <c r="B118" i="2"/>
  <c r="B117" i="2"/>
  <c r="F114" i="2"/>
  <c r="F117" i="2" s="1"/>
  <c r="F118" i="2" s="1"/>
  <c r="F119" i="2" s="1"/>
  <c r="F120" i="2" s="1"/>
  <c r="F121" i="2" s="1"/>
  <c r="M112" i="2"/>
  <c r="L112" i="2"/>
  <c r="B106" i="2"/>
  <c r="F103" i="2"/>
  <c r="M101" i="2"/>
  <c r="L101" i="2"/>
  <c r="F99" i="2"/>
  <c r="B96" i="2"/>
  <c r="F95" i="2"/>
  <c r="F96" i="2" s="1"/>
  <c r="F97" i="2" s="1"/>
  <c r="F98" i="2" s="1"/>
  <c r="B95" i="2"/>
  <c r="L92" i="2"/>
  <c r="F92" i="2"/>
  <c r="M90" i="2"/>
  <c r="L90" i="2"/>
  <c r="F87" i="2"/>
  <c r="F88" i="2" s="1"/>
  <c r="B85" i="2"/>
  <c r="B84" i="2"/>
  <c r="F81" i="2"/>
  <c r="F84" i="2" s="1"/>
  <c r="F85" i="2" s="1"/>
  <c r="F86" i="2" s="1"/>
  <c r="M79" i="2"/>
  <c r="L79" i="2"/>
  <c r="B74" i="2"/>
  <c r="B73" i="2"/>
  <c r="F70" i="2"/>
  <c r="M68" i="2"/>
  <c r="L68" i="2"/>
  <c r="F62" i="2"/>
  <c r="F63" i="2" s="1"/>
  <c r="F64" i="2" s="1"/>
  <c r="F65" i="2" s="1"/>
  <c r="F66" i="2" s="1"/>
  <c r="B62" i="2"/>
  <c r="L59" i="2"/>
  <c r="L61" i="2" s="1"/>
  <c r="F59" i="2"/>
  <c r="M57" i="2"/>
  <c r="L57" i="2"/>
  <c r="F52" i="2"/>
  <c r="F53" i="2" s="1"/>
  <c r="F54" i="2" s="1"/>
  <c r="F55" i="2" s="1"/>
  <c r="B52" i="2"/>
  <c r="F51" i="2"/>
  <c r="B51" i="2"/>
  <c r="L48" i="2"/>
  <c r="F48" i="2"/>
  <c r="M46" i="2"/>
  <c r="L46" i="2"/>
  <c r="F43" i="2"/>
  <c r="F44" i="2" s="1"/>
  <c r="F41" i="2"/>
  <c r="F42" i="2" s="1"/>
  <c r="B41" i="2"/>
  <c r="B42" i="2" s="1"/>
  <c r="B43" i="2" s="1"/>
  <c r="B44" i="2" s="1"/>
  <c r="F40" i="2"/>
  <c r="B40" i="2"/>
  <c r="L37" i="2"/>
  <c r="F37" i="2"/>
  <c r="M35" i="2"/>
  <c r="L35" i="2"/>
  <c r="B30" i="2"/>
  <c r="B29" i="2"/>
  <c r="F26" i="2"/>
  <c r="M24" i="2"/>
  <c r="L24" i="2"/>
  <c r="B19" i="2"/>
  <c r="B18" i="2"/>
  <c r="L17" i="2"/>
  <c r="L15" i="2"/>
  <c r="F15" i="2"/>
  <c r="F18" i="2" s="1"/>
  <c r="F19" i="2" s="1"/>
  <c r="F20" i="2" s="1"/>
  <c r="F21" i="2" s="1"/>
  <c r="F22" i="2" s="1"/>
  <c r="M13" i="2"/>
  <c r="L13" i="2"/>
  <c r="F7" i="2"/>
  <c r="F8" i="2" s="1"/>
  <c r="F9" i="2" s="1"/>
  <c r="F10" i="2" s="1"/>
  <c r="F11" i="2" s="1"/>
  <c r="B7" i="2"/>
  <c r="L4" i="2"/>
  <c r="F4" i="2"/>
  <c r="F2" i="2"/>
  <c r="B2" i="2"/>
  <c r="AZ5" i="22"/>
  <c r="BC5" i="17"/>
  <c r="BC5" i="16"/>
  <c r="BC5" i="11"/>
  <c r="AZ5" i="10"/>
  <c r="BC5" i="6"/>
  <c r="BC5" i="5"/>
  <c r="BA5" i="8"/>
  <c r="BC5" i="23"/>
  <c r="AY5" i="22"/>
  <c r="BA5" i="17"/>
  <c r="BA5" i="16"/>
  <c r="BA5" i="11"/>
  <c r="AY5" i="10"/>
  <c r="BA5" i="6"/>
  <c r="BA5" i="5"/>
  <c r="BA5" i="23"/>
  <c r="AZ5" i="17"/>
  <c r="AZ5" i="16"/>
  <c r="AZ5" i="11"/>
  <c r="AZ5" i="6"/>
  <c r="AZ5" i="5"/>
  <c r="AZ5" i="23"/>
  <c r="AY5" i="17"/>
  <c r="AY5" i="16"/>
  <c r="BC5" i="12"/>
  <c r="AY5" i="11"/>
  <c r="AY5" i="6"/>
  <c r="AY5" i="5"/>
  <c r="AY5" i="23"/>
  <c r="BA5" i="12"/>
  <c r="BA5" i="18"/>
  <c r="BA5" i="7"/>
  <c r="AZ5" i="18"/>
  <c r="AZ5" i="7"/>
  <c r="BC5" i="24"/>
  <c r="AY5" i="24"/>
  <c r="AZ5" i="19"/>
  <c r="AZ5" i="13"/>
  <c r="AZ5" i="12"/>
  <c r="BC5" i="18"/>
  <c r="AY5" i="12"/>
  <c r="BC5" i="7"/>
  <c r="AY5" i="18"/>
  <c r="AY5" i="7"/>
  <c r="BA5" i="24"/>
  <c r="BC5" i="19"/>
  <c r="BC5" i="13"/>
  <c r="AZ5" i="24"/>
  <c r="BA5" i="19"/>
  <c r="BA5" i="13"/>
  <c r="BC5" i="8"/>
  <c r="BC5" i="25"/>
  <c r="BC5" i="20"/>
  <c r="AY5" i="19"/>
  <c r="AY5" i="13"/>
  <c r="AZ5" i="8"/>
  <c r="BA5" i="25"/>
  <c r="BA5" i="20"/>
  <c r="BC5" i="14"/>
  <c r="AY5" i="8"/>
  <c r="AZ5" i="25"/>
  <c r="AZ5" i="20"/>
  <c r="BA5" i="14"/>
  <c r="AY5" i="25"/>
  <c r="AY5" i="20"/>
  <c r="AZ5" i="14"/>
  <c r="BC5" i="15"/>
  <c r="BC5" i="9"/>
  <c r="AZ5" i="15"/>
  <c r="AZ5" i="9"/>
  <c r="AY5" i="15"/>
  <c r="AY5" i="9"/>
  <c r="BC5" i="21"/>
  <c r="BA5" i="21"/>
  <c r="AY5" i="14"/>
  <c r="BA5" i="15"/>
  <c r="BA5" i="9"/>
  <c r="BC5" i="22"/>
  <c r="AZ5" i="21"/>
  <c r="BC5" i="10"/>
  <c r="BA5" i="22"/>
  <c r="AY5" i="21"/>
  <c r="BA5" i="10"/>
  <c r="D216" i="4"/>
  <c r="D172" i="4"/>
  <c r="D40" i="4"/>
  <c r="H217" i="4"/>
  <c r="H173" i="4"/>
  <c r="M73" i="4"/>
  <c r="H128" i="3"/>
  <c r="L40" i="3"/>
  <c r="H216" i="4"/>
  <c r="D84" i="3"/>
  <c r="L128" i="3"/>
  <c r="L217" i="4"/>
  <c r="L172" i="4"/>
  <c r="M227" i="2"/>
  <c r="C35" i="1"/>
  <c r="K32" i="1"/>
  <c r="G30" i="1"/>
  <c r="C28" i="1"/>
  <c r="K25" i="1"/>
  <c r="G23" i="1"/>
  <c r="C21" i="1"/>
  <c r="K18" i="1"/>
  <c r="C9" i="1"/>
  <c r="H172" i="4"/>
  <c r="M128" i="4"/>
  <c r="M84" i="3"/>
  <c r="L227" i="2"/>
  <c r="N34" i="1"/>
  <c r="J32" i="1"/>
  <c r="F30" i="1"/>
  <c r="N27" i="1"/>
  <c r="J25" i="1"/>
  <c r="F23" i="1"/>
  <c r="D217" i="4"/>
  <c r="L128" i="4"/>
  <c r="D205" i="3"/>
  <c r="L84" i="3"/>
  <c r="D227" i="4"/>
  <c r="D107" i="3"/>
  <c r="H84" i="3"/>
  <c r="H227" i="2"/>
  <c r="D183" i="2"/>
  <c r="H128" i="4"/>
  <c r="D227" i="2"/>
  <c r="M172" i="4"/>
  <c r="H150" i="4"/>
  <c r="H129" i="4"/>
  <c r="H40" i="4"/>
  <c r="L150" i="2"/>
  <c r="N35" i="1"/>
  <c r="H33" i="1"/>
  <c r="N30" i="1"/>
  <c r="H28" i="1"/>
  <c r="N25" i="1"/>
  <c r="H23" i="1"/>
  <c r="M20" i="1"/>
  <c r="C11" i="1"/>
  <c r="M216" i="4"/>
  <c r="D183" i="4"/>
  <c r="H139" i="4"/>
  <c r="M128" i="3"/>
  <c r="H62" i="3"/>
  <c r="H41" i="3"/>
  <c r="M35" i="1"/>
  <c r="G33" i="1"/>
  <c r="M30" i="1"/>
  <c r="G28" i="1"/>
  <c r="M25" i="1"/>
  <c r="E23" i="1"/>
  <c r="L20" i="1"/>
  <c r="N10" i="1"/>
  <c r="L227" i="4"/>
  <c r="L216" i="4"/>
  <c r="D194" i="4"/>
  <c r="D150" i="4"/>
  <c r="D129" i="4"/>
  <c r="H173" i="3"/>
  <c r="H117" i="2"/>
  <c r="H51" i="2"/>
  <c r="M29" i="2"/>
  <c r="L35" i="1"/>
  <c r="F33" i="1"/>
  <c r="L30" i="1"/>
  <c r="F28" i="1"/>
  <c r="L25" i="1"/>
  <c r="D23" i="1"/>
  <c r="K20" i="1"/>
  <c r="M10" i="1"/>
  <c r="H194" i="4"/>
  <c r="D139" i="4"/>
  <c r="D51" i="3"/>
  <c r="D41" i="3"/>
  <c r="M30" i="3"/>
  <c r="D150" i="2"/>
  <c r="L29" i="2"/>
  <c r="K35" i="1"/>
  <c r="E33" i="1"/>
  <c r="K30" i="1"/>
  <c r="E28" i="1"/>
  <c r="I25" i="1"/>
  <c r="C23" i="1"/>
  <c r="J20" i="1"/>
  <c r="E18" i="1"/>
  <c r="L10" i="1"/>
  <c r="D128" i="3"/>
  <c r="L30" i="3"/>
  <c r="J35" i="1"/>
  <c r="D33" i="1"/>
  <c r="J30" i="1"/>
  <c r="D28" i="1"/>
  <c r="H25" i="1"/>
  <c r="N22" i="1"/>
  <c r="I20" i="1"/>
  <c r="D18" i="1"/>
  <c r="K10" i="1"/>
  <c r="D128" i="4"/>
  <c r="M117" i="3"/>
  <c r="H29" i="2"/>
  <c r="I35" i="1"/>
  <c r="C33" i="1"/>
  <c r="I30" i="1"/>
  <c r="M27" i="1"/>
  <c r="G25" i="1"/>
  <c r="M22" i="1"/>
  <c r="H20" i="1"/>
  <c r="C18" i="1"/>
  <c r="J10" i="1"/>
  <c r="L117" i="3"/>
  <c r="H30" i="3"/>
  <c r="L216" i="2"/>
  <c r="M206" i="2"/>
  <c r="H35" i="1"/>
  <c r="N32" i="1"/>
  <c r="H30" i="1"/>
  <c r="L27" i="1"/>
  <c r="F25" i="1"/>
  <c r="L22" i="1"/>
  <c r="G20" i="1"/>
  <c r="I10" i="1"/>
  <c r="M106" i="3"/>
  <c r="M40" i="3"/>
  <c r="D29" i="2"/>
  <c r="G35" i="1"/>
  <c r="M32" i="1"/>
  <c r="E30" i="1"/>
  <c r="K27" i="1"/>
  <c r="E25" i="1"/>
  <c r="K22" i="1"/>
  <c r="F20" i="1"/>
  <c r="H10" i="1"/>
  <c r="L95" i="4"/>
  <c r="M172" i="3"/>
  <c r="H117" i="3"/>
  <c r="L106" i="3"/>
  <c r="D30" i="3"/>
  <c r="M172" i="2"/>
  <c r="F35" i="1"/>
  <c r="L32" i="1"/>
  <c r="D30" i="1"/>
  <c r="J27" i="1"/>
  <c r="D25" i="1"/>
  <c r="J22" i="1"/>
  <c r="E20" i="1"/>
  <c r="G10" i="1"/>
  <c r="H40" i="3"/>
  <c r="M205" i="2"/>
  <c r="L172" i="2"/>
  <c r="D74" i="2"/>
  <c r="E35" i="1"/>
  <c r="I32" i="1"/>
  <c r="C30" i="1"/>
  <c r="I27" i="1"/>
  <c r="C25" i="1"/>
  <c r="I22" i="1"/>
  <c r="D20" i="1"/>
  <c r="F10" i="1"/>
  <c r="L106" i="4"/>
  <c r="D106" i="3"/>
  <c r="M29" i="3"/>
  <c r="L205" i="2"/>
  <c r="D35" i="1"/>
  <c r="H32" i="1"/>
  <c r="N29" i="1"/>
  <c r="H27" i="1"/>
  <c r="N24" i="1"/>
  <c r="H22" i="1"/>
  <c r="C20" i="1"/>
  <c r="E10" i="1"/>
  <c r="M175" i="4"/>
  <c r="M84" i="4"/>
  <c r="M161" i="3"/>
  <c r="H106" i="3"/>
  <c r="D40" i="3"/>
  <c r="L29" i="3"/>
  <c r="H172" i="2"/>
  <c r="D43" i="2"/>
  <c r="M34" i="1"/>
  <c r="G32" i="1"/>
  <c r="M29" i="1"/>
  <c r="G27" i="1"/>
  <c r="M24" i="1"/>
  <c r="G22" i="1"/>
  <c r="N19" i="1"/>
  <c r="D10" i="1"/>
  <c r="H29" i="3"/>
  <c r="D172" i="2"/>
  <c r="L73" i="2"/>
  <c r="M40" i="2"/>
  <c r="K34" i="1"/>
  <c r="E32" i="1"/>
  <c r="K29" i="1"/>
  <c r="E27" i="1"/>
  <c r="K24" i="1"/>
  <c r="E22" i="1"/>
  <c r="L19" i="1"/>
  <c r="N9" i="1"/>
  <c r="H84" i="4"/>
  <c r="D205" i="2"/>
  <c r="H73" i="2"/>
  <c r="J34" i="1"/>
  <c r="D32" i="1"/>
  <c r="J29" i="1"/>
  <c r="D27" i="1"/>
  <c r="J24" i="1"/>
  <c r="D22" i="1"/>
  <c r="K19" i="1"/>
  <c r="M9" i="1"/>
  <c r="H73" i="4"/>
  <c r="G34" i="1"/>
  <c r="M31" i="1"/>
  <c r="G29" i="1"/>
  <c r="M26" i="1"/>
  <c r="G24" i="1"/>
  <c r="M21" i="1"/>
  <c r="H19" i="1"/>
  <c r="J9" i="1"/>
  <c r="M218" i="4"/>
  <c r="H174" i="4"/>
  <c r="D73" i="4"/>
  <c r="E34" i="1"/>
  <c r="K31" i="1"/>
  <c r="E29" i="1"/>
  <c r="K26" i="1"/>
  <c r="E24" i="1"/>
  <c r="K21" i="1"/>
  <c r="F19" i="1"/>
  <c r="M11" i="1"/>
  <c r="H9" i="1"/>
  <c r="D34" i="1"/>
  <c r="J31" i="1"/>
  <c r="D29" i="1"/>
  <c r="J26" i="1"/>
  <c r="D24" i="1"/>
  <c r="J21" i="1"/>
  <c r="E19" i="1"/>
  <c r="G9" i="1"/>
  <c r="H195" i="4"/>
  <c r="L173" i="4"/>
  <c r="L41" i="4"/>
  <c r="M18" i="2"/>
  <c r="M33" i="1"/>
  <c r="G31" i="1"/>
  <c r="M28" i="1"/>
  <c r="G26" i="1"/>
  <c r="M23" i="1"/>
  <c r="G21" i="1"/>
  <c r="N18" i="1"/>
  <c r="D9" i="1"/>
  <c r="D175" i="4"/>
  <c r="M42" i="2"/>
  <c r="N33" i="1"/>
  <c r="L26" i="1"/>
  <c r="J19" i="1"/>
  <c r="D151" i="2"/>
  <c r="L42" i="2"/>
  <c r="L33" i="1"/>
  <c r="I26" i="1"/>
  <c r="I19" i="1"/>
  <c r="D195" i="4"/>
  <c r="M174" i="4"/>
  <c r="H205" i="2"/>
  <c r="K33" i="1"/>
  <c r="H26" i="1"/>
  <c r="G19" i="1"/>
  <c r="H216" i="3"/>
  <c r="M19" i="1"/>
  <c r="L174" i="4"/>
  <c r="L161" i="3"/>
  <c r="M62" i="3"/>
  <c r="D29" i="3"/>
  <c r="J33" i="1"/>
  <c r="F26" i="1"/>
  <c r="D19" i="1"/>
  <c r="H174" i="3"/>
  <c r="C34" i="1"/>
  <c r="D218" i="4"/>
  <c r="D174" i="4"/>
  <c r="L62" i="3"/>
  <c r="I33" i="1"/>
  <c r="E26" i="1"/>
  <c r="C19" i="1"/>
  <c r="L30" i="4"/>
  <c r="L218" i="4"/>
  <c r="M173" i="4"/>
  <c r="D161" i="3"/>
  <c r="H7" i="3"/>
  <c r="F32" i="1"/>
  <c r="D26" i="1"/>
  <c r="M18" i="1"/>
  <c r="M194" i="4"/>
  <c r="D173" i="4"/>
  <c r="M150" i="4"/>
  <c r="H161" i="3"/>
  <c r="M119" i="3"/>
  <c r="D7" i="3"/>
  <c r="M73" i="2"/>
  <c r="H40" i="2"/>
  <c r="C32" i="1"/>
  <c r="C26" i="1"/>
  <c r="M217" i="4"/>
  <c r="L194" i="4"/>
  <c r="L150" i="4"/>
  <c r="M129" i="4"/>
  <c r="D41" i="4"/>
  <c r="M194" i="3"/>
  <c r="M118" i="3"/>
  <c r="L42" i="3"/>
  <c r="D73" i="2"/>
  <c r="N31" i="1"/>
  <c r="L24" i="1"/>
  <c r="J18" i="1"/>
  <c r="L73" i="4"/>
  <c r="L129" i="4"/>
  <c r="L118" i="3"/>
  <c r="D40" i="2"/>
  <c r="L31" i="1"/>
  <c r="I24" i="1"/>
  <c r="I18" i="1"/>
  <c r="C27" i="1"/>
  <c r="H194" i="3"/>
  <c r="M41" i="3"/>
  <c r="L40" i="2"/>
  <c r="I31" i="1"/>
  <c r="H24" i="1"/>
  <c r="H118" i="3"/>
  <c r="L41" i="3"/>
  <c r="M128" i="2"/>
  <c r="H31" i="1"/>
  <c r="F24" i="1"/>
  <c r="M40" i="4"/>
  <c r="M173" i="3"/>
  <c r="F31" i="1"/>
  <c r="C24" i="1"/>
  <c r="L40" i="4"/>
  <c r="D217" i="2"/>
  <c r="E31" i="1"/>
  <c r="N23" i="1"/>
  <c r="N11" i="1"/>
  <c r="L84" i="4"/>
  <c r="L173" i="3"/>
  <c r="D31" i="1"/>
  <c r="L23" i="1"/>
  <c r="K11" i="1"/>
  <c r="D84" i="4"/>
  <c r="D19" i="2"/>
  <c r="C31" i="1"/>
  <c r="K23" i="1"/>
  <c r="N26" i="1"/>
  <c r="L29" i="1"/>
  <c r="J23" i="1"/>
  <c r="H11" i="1"/>
  <c r="M18" i="4"/>
  <c r="H73" i="3"/>
  <c r="I29" i="1"/>
  <c r="I23" i="1"/>
  <c r="F11" i="1"/>
  <c r="L18" i="3"/>
  <c r="M194" i="2"/>
  <c r="L18" i="2"/>
  <c r="H29" i="1"/>
  <c r="F22" i="1"/>
  <c r="E11" i="1"/>
  <c r="L183" i="4"/>
  <c r="H18" i="3"/>
  <c r="F29" i="1"/>
  <c r="C22" i="1"/>
  <c r="D11" i="1"/>
  <c r="D161" i="4"/>
  <c r="H228" i="2"/>
  <c r="M44" i="2"/>
  <c r="I21" i="1"/>
  <c r="D18" i="3"/>
  <c r="M84" i="2"/>
  <c r="D18" i="2"/>
  <c r="C29" i="1"/>
  <c r="N21" i="1"/>
  <c r="C10" i="1"/>
  <c r="L139" i="4"/>
  <c r="L28" i="1"/>
  <c r="K9" i="1"/>
  <c r="H183" i="4"/>
  <c r="H161" i="4"/>
  <c r="N28" i="1"/>
  <c r="L21" i="1"/>
  <c r="L9" i="1"/>
  <c r="M205" i="3"/>
  <c r="L227" i="3"/>
  <c r="D129" i="3"/>
  <c r="L44" i="2"/>
  <c r="K28" i="1"/>
  <c r="H21" i="1"/>
  <c r="I9" i="1"/>
  <c r="L117" i="2"/>
  <c r="L205" i="3"/>
  <c r="D32" i="3"/>
  <c r="D228" i="2"/>
  <c r="L34" i="1"/>
  <c r="J28" i="1"/>
  <c r="F21" i="1"/>
  <c r="F9" i="1"/>
  <c r="M117" i="2"/>
  <c r="H43" i="2"/>
  <c r="F34" i="1"/>
  <c r="N20" i="1"/>
  <c r="M43" i="2"/>
  <c r="I34" i="1"/>
  <c r="I28" i="1"/>
  <c r="E21" i="1"/>
  <c r="E9" i="1"/>
  <c r="H151" i="2"/>
  <c r="L43" i="2"/>
  <c r="H34" i="1"/>
  <c r="F27" i="1"/>
  <c r="D21" i="1"/>
  <c r="H139" i="2"/>
  <c r="D85" i="3"/>
  <c r="D30" i="4"/>
  <c r="D30" i="2"/>
  <c r="M173" i="2"/>
  <c r="D51" i="4"/>
  <c r="H96" i="2"/>
  <c r="M94" i="4" l="1"/>
  <c r="M6" i="4"/>
  <c r="M138" i="4"/>
  <c r="M50" i="4"/>
  <c r="M6" i="3"/>
  <c r="M138" i="3"/>
  <c r="M61" i="3"/>
  <c r="M160" i="4"/>
  <c r="M215" i="3"/>
  <c r="M17" i="3"/>
  <c r="M193" i="3"/>
  <c r="J57" i="4"/>
  <c r="J56" i="4"/>
  <c r="J151" i="2"/>
  <c r="E12" i="1"/>
  <c r="N43" i="2"/>
  <c r="J43" i="2"/>
  <c r="N117" i="2"/>
  <c r="F12" i="1"/>
  <c r="J135" i="3"/>
  <c r="N205" i="3"/>
  <c r="J161" i="4"/>
  <c r="J183" i="4"/>
  <c r="K12" i="1"/>
  <c r="N44" i="2"/>
  <c r="J228" i="2"/>
  <c r="J167" i="4"/>
  <c r="J166" i="4"/>
  <c r="J18" i="3"/>
  <c r="J89" i="4"/>
  <c r="J90" i="4"/>
  <c r="N173" i="3"/>
  <c r="N40" i="4"/>
  <c r="N41" i="3"/>
  <c r="I36" i="1"/>
  <c r="J36" i="1"/>
  <c r="J79" i="2"/>
  <c r="J78" i="2"/>
  <c r="N118" i="3"/>
  <c r="N129" i="4"/>
  <c r="N217" i="4"/>
  <c r="J40" i="2"/>
  <c r="N73" i="2"/>
  <c r="J161" i="3"/>
  <c r="N150" i="4"/>
  <c r="N194" i="4"/>
  <c r="M36" i="1"/>
  <c r="J7" i="3"/>
  <c r="J166" i="3"/>
  <c r="J167" i="3"/>
  <c r="N173" i="4"/>
  <c r="N62" i="3"/>
  <c r="J205" i="2"/>
  <c r="N174" i="4"/>
  <c r="N42" i="2"/>
  <c r="D12" i="1"/>
  <c r="N36" i="1"/>
  <c r="N18" i="2"/>
  <c r="J195" i="4"/>
  <c r="H12" i="1"/>
  <c r="J79" i="4"/>
  <c r="J78" i="4"/>
  <c r="J174" i="4"/>
  <c r="N218" i="4"/>
  <c r="J73" i="4"/>
  <c r="M12" i="1"/>
  <c r="J73" i="2"/>
  <c r="J211" i="2"/>
  <c r="J210" i="2"/>
  <c r="J84" i="4"/>
  <c r="N40" i="2"/>
  <c r="J178" i="2"/>
  <c r="J177" i="2"/>
  <c r="J29" i="3"/>
  <c r="J172" i="2"/>
  <c r="J106" i="3"/>
  <c r="N161" i="3"/>
  <c r="N84" i="4"/>
  <c r="N29" i="3"/>
  <c r="J112" i="3"/>
  <c r="J111" i="3"/>
  <c r="N205" i="2"/>
  <c r="J40" i="3"/>
  <c r="N172" i="2"/>
  <c r="N40" i="3"/>
  <c r="N106" i="3"/>
  <c r="J30" i="3"/>
  <c r="C36" i="1"/>
  <c r="J29" i="2"/>
  <c r="N117" i="3"/>
  <c r="J133" i="4"/>
  <c r="J134" i="4"/>
  <c r="D36" i="1"/>
  <c r="J134" i="3"/>
  <c r="J133" i="3"/>
  <c r="E36" i="1"/>
  <c r="J156" i="2"/>
  <c r="J155" i="2"/>
  <c r="N30" i="3"/>
  <c r="J57" i="3"/>
  <c r="J56" i="3"/>
  <c r="J145" i="4"/>
  <c r="J144" i="4"/>
  <c r="J194" i="4"/>
  <c r="N29" i="2"/>
  <c r="J156" i="4"/>
  <c r="J155" i="4"/>
  <c r="J200" i="4"/>
  <c r="J199" i="4"/>
  <c r="N12" i="1"/>
  <c r="J41" i="3"/>
  <c r="N128" i="3"/>
  <c r="J139" i="4"/>
  <c r="J189" i="4"/>
  <c r="J188" i="4"/>
  <c r="N216" i="4"/>
  <c r="J40" i="4"/>
  <c r="J129" i="4"/>
  <c r="J150" i="4"/>
  <c r="N172" i="4"/>
  <c r="J232" i="2"/>
  <c r="J233" i="2"/>
  <c r="J128" i="4"/>
  <c r="J189" i="2"/>
  <c r="J188" i="2"/>
  <c r="J227" i="2"/>
  <c r="J84" i="3"/>
  <c r="J233" i="4"/>
  <c r="J232" i="4"/>
  <c r="J211" i="3"/>
  <c r="J210" i="3"/>
  <c r="N84" i="3"/>
  <c r="N128" i="4"/>
  <c r="J172" i="4"/>
  <c r="C12" i="1"/>
  <c r="K36" i="1"/>
  <c r="N227" i="2"/>
  <c r="J90" i="3"/>
  <c r="J89" i="3"/>
  <c r="J216" i="4"/>
  <c r="J128" i="3"/>
  <c r="N73" i="4"/>
  <c r="J173" i="4"/>
  <c r="J217" i="4"/>
  <c r="J177" i="4"/>
  <c r="J178" i="4"/>
  <c r="J221" i="4"/>
  <c r="J222" i="4"/>
  <c r="M61" i="2"/>
  <c r="B75" i="4"/>
  <c r="B229" i="2"/>
  <c r="B33" i="3"/>
  <c r="B97" i="2"/>
  <c r="B52" i="4"/>
  <c r="B131" i="3"/>
  <c r="B228" i="3"/>
  <c r="B31" i="2"/>
  <c r="B31" i="4"/>
  <c r="L191" i="2"/>
  <c r="L193" i="2" s="1"/>
  <c r="B119" i="2"/>
  <c r="M72" i="3"/>
  <c r="B151" i="3"/>
  <c r="M17" i="2"/>
  <c r="L17" i="3"/>
  <c r="B63" i="2"/>
  <c r="B195" i="2"/>
  <c r="B207" i="3"/>
  <c r="B207" i="4"/>
  <c r="B140" i="2"/>
  <c r="B86" i="2"/>
  <c r="L158" i="2"/>
  <c r="L160" i="2" s="1"/>
  <c r="L149" i="2"/>
  <c r="L94" i="2"/>
  <c r="L6" i="2"/>
  <c r="L204" i="2"/>
  <c r="L226" i="2"/>
  <c r="L182" i="2"/>
  <c r="L50" i="2"/>
  <c r="L215" i="2"/>
  <c r="L83" i="2"/>
  <c r="L105" i="2"/>
  <c r="B20" i="2"/>
  <c r="F106" i="2"/>
  <c r="F107" i="2" s="1"/>
  <c r="F108" i="2" s="1"/>
  <c r="F109" i="2" s="1"/>
  <c r="F110" i="2" s="1"/>
  <c r="L103" i="2"/>
  <c r="M105" i="2" s="1"/>
  <c r="M226" i="2"/>
  <c r="M138" i="2"/>
  <c r="M6" i="2"/>
  <c r="M204" i="2"/>
  <c r="M72" i="2"/>
  <c r="M182" i="2"/>
  <c r="M149" i="2"/>
  <c r="M116" i="2"/>
  <c r="M50" i="2"/>
  <c r="M39" i="2"/>
  <c r="B107" i="2"/>
  <c r="B162" i="2"/>
  <c r="B96" i="3"/>
  <c r="L125" i="2"/>
  <c r="M127" i="2" s="1"/>
  <c r="B218" i="2"/>
  <c r="B20" i="4"/>
  <c r="B63" i="4"/>
  <c r="L127" i="2"/>
  <c r="B75" i="3"/>
  <c r="B8" i="2"/>
  <c r="L39" i="2"/>
  <c r="L171" i="4"/>
  <c r="B175" i="3"/>
  <c r="F73" i="2"/>
  <c r="F74" i="2" s="1"/>
  <c r="F75" i="2" s="1"/>
  <c r="F76" i="2" s="1"/>
  <c r="F77" i="2" s="1"/>
  <c r="L70" i="2"/>
  <c r="L72" i="2" s="1"/>
  <c r="B129" i="2"/>
  <c r="B53" i="2"/>
  <c r="M160" i="3"/>
  <c r="B185" i="2"/>
  <c r="B121" i="3"/>
  <c r="B140" i="3"/>
  <c r="B131" i="4"/>
  <c r="M94" i="2"/>
  <c r="L202" i="2"/>
  <c r="F205" i="2"/>
  <c r="F206" i="2" s="1"/>
  <c r="F207" i="2" s="1"/>
  <c r="F208" i="2" s="1"/>
  <c r="F209" i="2" s="1"/>
  <c r="F161" i="3"/>
  <c r="F162" i="3" s="1"/>
  <c r="F163" i="3" s="1"/>
  <c r="F164" i="3" s="1"/>
  <c r="F165" i="3" s="1"/>
  <c r="B217" i="3"/>
  <c r="F73" i="4"/>
  <c r="F74" i="4" s="1"/>
  <c r="F75" i="4" s="1"/>
  <c r="F76" i="4" s="1"/>
  <c r="F77" i="4" s="1"/>
  <c r="L70" i="4"/>
  <c r="B174" i="2"/>
  <c r="B152" i="4"/>
  <c r="B220" i="4"/>
  <c r="B86" i="3"/>
  <c r="F106" i="3"/>
  <c r="F107" i="3" s="1"/>
  <c r="F108" i="3" s="1"/>
  <c r="F109" i="3" s="1"/>
  <c r="F110" i="3" s="1"/>
  <c r="L103" i="3"/>
  <c r="F29" i="2"/>
  <c r="F30" i="2" s="1"/>
  <c r="F31" i="2" s="1"/>
  <c r="F32" i="2" s="1"/>
  <c r="F33" i="2" s="1"/>
  <c r="L26" i="2"/>
  <c r="M28" i="2" s="1"/>
  <c r="B64" i="3"/>
  <c r="B152" i="2"/>
  <c r="L171" i="2"/>
  <c r="B196" i="4"/>
  <c r="BD21" i="7"/>
  <c r="AZ21" i="8"/>
  <c r="B8" i="3"/>
  <c r="B19" i="3"/>
  <c r="L92" i="3"/>
  <c r="L224" i="3"/>
  <c r="B42" i="4"/>
  <c r="L81" i="4"/>
  <c r="L83" i="4" s="1"/>
  <c r="L114" i="3"/>
  <c r="L116" i="3" s="1"/>
  <c r="B8" i="4"/>
  <c r="L81" i="2"/>
  <c r="M83" i="2" s="1"/>
  <c r="L213" i="2"/>
  <c r="M215" i="2" s="1"/>
  <c r="L180" i="3"/>
  <c r="L114" i="2"/>
  <c r="L116" i="2" s="1"/>
  <c r="B163" i="3"/>
  <c r="L114" i="4"/>
  <c r="L48" i="3"/>
  <c r="L125" i="4"/>
  <c r="L127" i="4" s="1"/>
  <c r="L138" i="4"/>
  <c r="L224" i="4"/>
  <c r="L26" i="4"/>
  <c r="F29" i="4"/>
  <c r="F30" i="4" s="1"/>
  <c r="F31" i="4" s="1"/>
  <c r="F32" i="4" s="1"/>
  <c r="F33" i="4" s="1"/>
  <c r="F216" i="4"/>
  <c r="F217" i="4" s="1"/>
  <c r="F218" i="4" s="1"/>
  <c r="F219" i="4" s="1"/>
  <c r="F220" i="4" s="1"/>
  <c r="L213" i="4"/>
  <c r="B43" i="3"/>
  <c r="B52" i="3"/>
  <c r="B140" i="4"/>
  <c r="L191" i="4"/>
  <c r="M193" i="4" s="1"/>
  <c r="L202" i="4"/>
  <c r="L204" i="4" s="1"/>
  <c r="F128" i="3"/>
  <c r="F129" i="3" s="1"/>
  <c r="F130" i="3" s="1"/>
  <c r="F131" i="3" s="1"/>
  <c r="F132" i="3" s="1"/>
  <c r="BA21" i="7"/>
  <c r="B75" i="2"/>
  <c r="B195" i="3"/>
  <c r="B107" i="4"/>
  <c r="F172" i="4"/>
  <c r="F173" i="4" s="1"/>
  <c r="F174" i="4" s="1"/>
  <c r="F175" i="4" s="1"/>
  <c r="F176" i="4" s="1"/>
  <c r="L169" i="4"/>
  <c r="BB21" i="7"/>
  <c r="AX21" i="8"/>
  <c r="B207" i="2"/>
  <c r="L127" i="3"/>
  <c r="L83" i="3"/>
  <c r="L39" i="3"/>
  <c r="L149" i="3"/>
  <c r="L28" i="3"/>
  <c r="L204" i="3"/>
  <c r="B184" i="3"/>
  <c r="L202" i="3"/>
  <c r="B118" i="4"/>
  <c r="F150" i="4"/>
  <c r="F151" i="4" s="1"/>
  <c r="F152" i="4" s="1"/>
  <c r="F153" i="4" s="1"/>
  <c r="F154" i="4" s="1"/>
  <c r="AY21" i="8"/>
  <c r="M127" i="3"/>
  <c r="M83" i="3"/>
  <c r="M39" i="3"/>
  <c r="M28" i="3"/>
  <c r="M204" i="3"/>
  <c r="M171" i="3"/>
  <c r="M116" i="3"/>
  <c r="B162" i="4"/>
  <c r="B86" i="4"/>
  <c r="B228" i="4"/>
  <c r="B96" i="4"/>
  <c r="L50" i="4"/>
  <c r="L94" i="4"/>
  <c r="L17" i="4"/>
  <c r="L215" i="4"/>
  <c r="L182" i="4"/>
  <c r="AY21" i="7"/>
  <c r="B108" i="3"/>
  <c r="BD21" i="8"/>
  <c r="B184" i="4"/>
  <c r="M215" i="4"/>
  <c r="M171" i="4"/>
  <c r="M127" i="4"/>
  <c r="M83" i="4"/>
  <c r="M39" i="4"/>
  <c r="M149" i="4"/>
  <c r="M105" i="4"/>
  <c r="M61" i="4"/>
  <c r="M17" i="4"/>
  <c r="H30" i="4"/>
  <c r="D173" i="2"/>
  <c r="H63" i="3"/>
  <c r="H175" i="4"/>
  <c r="H183" i="3"/>
  <c r="L18" i="4"/>
  <c r="H172" i="3"/>
  <c r="M30" i="2"/>
  <c r="M139" i="2"/>
  <c r="M161" i="2"/>
  <c r="M74" i="3"/>
  <c r="H44" i="2"/>
  <c r="D41" i="2"/>
  <c r="D183" i="3"/>
  <c r="M42" i="3"/>
  <c r="M29" i="4"/>
  <c r="M107" i="3"/>
  <c r="L84" i="2"/>
  <c r="L30" i="2"/>
  <c r="L32" i="3"/>
  <c r="L139" i="2"/>
  <c r="D161" i="2"/>
  <c r="D19" i="4"/>
  <c r="M184" i="2"/>
  <c r="D44" i="2"/>
  <c r="M63" i="3"/>
  <c r="D18" i="4"/>
  <c r="H42" i="3"/>
  <c r="L29" i="4"/>
  <c r="D117" i="3"/>
  <c r="D63" i="3"/>
  <c r="H29" i="4"/>
  <c r="D205" i="4"/>
  <c r="D172" i="3"/>
  <c r="M95" i="2"/>
  <c r="D29" i="4"/>
  <c r="L85" i="4"/>
  <c r="L96" i="2"/>
  <c r="M129" i="3"/>
  <c r="H19" i="2"/>
  <c r="L7" i="2"/>
  <c r="D120" i="3"/>
  <c r="L120" i="3"/>
  <c r="M41" i="2"/>
  <c r="D206" i="3"/>
  <c r="H95" i="3"/>
  <c r="H139" i="3"/>
  <c r="M151" i="2"/>
  <c r="M51" i="2"/>
  <c r="L206" i="4"/>
  <c r="L151" i="2"/>
  <c r="H51" i="3"/>
  <c r="D95" i="4"/>
  <c r="M150" i="3"/>
  <c r="D52" i="2"/>
  <c r="D7" i="4"/>
  <c r="M205" i="4"/>
  <c r="M139" i="3"/>
  <c r="D62" i="3"/>
  <c r="H41" i="4"/>
  <c r="L194" i="2"/>
  <c r="D139" i="2"/>
  <c r="M19" i="2"/>
  <c r="M95" i="3"/>
  <c r="L184" i="2"/>
  <c r="L95" i="2"/>
  <c r="D42" i="3"/>
  <c r="M95" i="4"/>
  <c r="H150" i="3"/>
  <c r="D139" i="3"/>
  <c r="H161" i="2"/>
  <c r="D173" i="3"/>
  <c r="M7" i="3"/>
  <c r="M183" i="3"/>
  <c r="L7" i="4"/>
  <c r="L74" i="4"/>
  <c r="M216" i="2"/>
  <c r="M85" i="3"/>
  <c r="D42" i="2"/>
  <c r="M96" i="2"/>
  <c r="H129" i="3"/>
  <c r="D73" i="3"/>
  <c r="L19" i="2"/>
  <c r="L95" i="3"/>
  <c r="M7" i="2"/>
  <c r="D95" i="2"/>
  <c r="M7" i="4"/>
  <c r="M51" i="3"/>
  <c r="G18" i="1"/>
  <c r="L51" i="3"/>
  <c r="L150" i="3"/>
  <c r="H7" i="2"/>
  <c r="M151" i="4"/>
  <c r="D7" i="2"/>
  <c r="L151" i="4"/>
  <c r="L51" i="2"/>
  <c r="M51" i="4"/>
  <c r="D150" i="3"/>
  <c r="L128" i="2"/>
  <c r="H151" i="4"/>
  <c r="D106" i="4"/>
  <c r="D84" i="2"/>
  <c r="H18" i="2"/>
  <c r="L19" i="4"/>
  <c r="H227" i="4"/>
  <c r="H218" i="4"/>
  <c r="D96" i="2"/>
  <c r="D130" i="3"/>
  <c r="L74" i="2"/>
  <c r="M130" i="3"/>
  <c r="H19" i="4"/>
  <c r="L205" i="4"/>
  <c r="M74" i="4"/>
  <c r="M85" i="4"/>
  <c r="H51" i="4"/>
  <c r="L161" i="4"/>
  <c r="H30" i="2"/>
  <c r="M85" i="2"/>
  <c r="M217" i="2"/>
  <c r="H128" i="2"/>
  <c r="L139" i="3"/>
  <c r="D151" i="4"/>
  <c r="L7" i="3"/>
  <c r="M176" i="4"/>
  <c r="D206" i="2"/>
  <c r="H18" i="4"/>
  <c r="J11" i="1"/>
  <c r="D118" i="2"/>
  <c r="L85" i="2"/>
  <c r="D128" i="2"/>
  <c r="L130" i="4"/>
  <c r="L219" i="4"/>
  <c r="M195" i="4"/>
  <c r="L176" i="4"/>
  <c r="D216" i="2"/>
  <c r="H117" i="4"/>
  <c r="F18" i="1"/>
  <c r="M118" i="2"/>
  <c r="H85" i="2"/>
  <c r="D95" i="3"/>
  <c r="D74" i="3"/>
  <c r="H219" i="4"/>
  <c r="L195" i="4"/>
  <c r="H176" i="4"/>
  <c r="L183" i="3"/>
  <c r="H42" i="2"/>
  <c r="L31" i="3"/>
  <c r="H194" i="2"/>
  <c r="M19" i="4"/>
  <c r="M130" i="4"/>
  <c r="H41" i="2"/>
  <c r="M139" i="4"/>
  <c r="M161" i="4"/>
  <c r="D184" i="2"/>
  <c r="M162" i="3"/>
  <c r="M106" i="4"/>
  <c r="G11" i="1"/>
  <c r="L217" i="2"/>
  <c r="D130" i="4"/>
  <c r="H52" i="2"/>
  <c r="H118" i="2"/>
  <c r="D85" i="2"/>
  <c r="D219" i="4"/>
  <c r="H217" i="2"/>
  <c r="D74" i="4"/>
  <c r="H130" i="3"/>
  <c r="M73" i="3"/>
  <c r="M62" i="4"/>
  <c r="L85" i="3"/>
  <c r="L11" i="1"/>
  <c r="H162" i="3"/>
  <c r="M117" i="4"/>
  <c r="H84" i="2"/>
  <c r="H205" i="4"/>
  <c r="M183" i="2"/>
  <c r="H62" i="2"/>
  <c r="H227" i="3"/>
  <c r="L73" i="3"/>
  <c r="L62" i="4"/>
  <c r="M174" i="3"/>
  <c r="H85" i="3"/>
  <c r="H18" i="1"/>
  <c r="L117" i="4"/>
  <c r="H216" i="2"/>
  <c r="L183" i="2"/>
  <c r="M206" i="3"/>
  <c r="M18" i="3"/>
  <c r="L206" i="2"/>
  <c r="L52" i="2"/>
  <c r="D162" i="3"/>
  <c r="D31" i="3"/>
  <c r="D206" i="4"/>
  <c r="M216" i="3"/>
  <c r="M41" i="4"/>
  <c r="D119" i="3"/>
  <c r="L216" i="3"/>
  <c r="L119" i="3"/>
  <c r="L106" i="2"/>
  <c r="L63" i="3"/>
  <c r="L41" i="2"/>
  <c r="P40" i="2" s="1"/>
  <c r="D194" i="2"/>
  <c r="L162" i="3"/>
  <c r="M227" i="3"/>
  <c r="H74" i="2"/>
  <c r="L206" i="3"/>
  <c r="H119" i="3"/>
  <c r="D85" i="4"/>
  <c r="L161" i="2"/>
  <c r="H106" i="4"/>
  <c r="H74" i="3"/>
  <c r="D194" i="3"/>
  <c r="M62" i="2"/>
  <c r="D227" i="3"/>
  <c r="L129" i="3"/>
  <c r="H62" i="4"/>
  <c r="L174" i="3"/>
  <c r="H120" i="3"/>
  <c r="H184" i="2"/>
  <c r="D117" i="4"/>
  <c r="H183" i="2"/>
  <c r="H205" i="3"/>
  <c r="H107" i="3"/>
  <c r="M30" i="4"/>
  <c r="H206" i="3"/>
  <c r="M52" i="2"/>
  <c r="M120" i="3"/>
  <c r="D51" i="2"/>
  <c r="H106" i="2"/>
  <c r="H85" i="4"/>
  <c r="D106" i="2"/>
  <c r="H130" i="4"/>
  <c r="H7" i="4"/>
  <c r="M31" i="3"/>
  <c r="D118" i="3"/>
  <c r="L175" i="4"/>
  <c r="L194" i="3"/>
  <c r="L130" i="3"/>
  <c r="L62" i="2"/>
  <c r="D62" i="4"/>
  <c r="D176" i="4"/>
  <c r="P172" i="4" s="1"/>
  <c r="I11" i="1"/>
  <c r="L107" i="3"/>
  <c r="H95" i="4"/>
  <c r="D62" i="2"/>
  <c r="H31" i="3"/>
  <c r="M228" i="2"/>
  <c r="D174" i="3"/>
  <c r="M74" i="2"/>
  <c r="M183" i="4"/>
  <c r="H150" i="2"/>
  <c r="L172" i="3"/>
  <c r="L18" i="1"/>
  <c r="L228" i="2"/>
  <c r="D117" i="2"/>
  <c r="L51" i="4"/>
  <c r="H173" i="2"/>
  <c r="H206" i="2"/>
  <c r="H74" i="4"/>
  <c r="M219" i="4"/>
  <c r="H32" i="3"/>
  <c r="M32" i="3"/>
  <c r="L118" i="2"/>
  <c r="M206" i="4"/>
  <c r="M106" i="2"/>
  <c r="L74" i="3"/>
  <c r="D216" i="3"/>
  <c r="L173" i="2"/>
  <c r="H95" i="2"/>
  <c r="M150" i="2"/>
  <c r="M227" i="4"/>
  <c r="H206" i="4"/>
  <c r="J206" i="4" l="1"/>
  <c r="N227" i="4"/>
  <c r="N150" i="2"/>
  <c r="J95" i="2"/>
  <c r="N173" i="2"/>
  <c r="J222" i="3"/>
  <c r="J221" i="3"/>
  <c r="J216" i="3"/>
  <c r="N106" i="2"/>
  <c r="N206" i="4"/>
  <c r="N32" i="3"/>
  <c r="J32" i="3"/>
  <c r="N219" i="4"/>
  <c r="J74" i="4"/>
  <c r="J206" i="2"/>
  <c r="J173" i="2"/>
  <c r="J123" i="2"/>
  <c r="J122" i="2"/>
  <c r="J117" i="2"/>
  <c r="L36" i="1"/>
  <c r="N172" i="3"/>
  <c r="J150" i="2"/>
  <c r="N183" i="4"/>
  <c r="N74" i="2"/>
  <c r="J174" i="3"/>
  <c r="N228" i="2"/>
  <c r="J31" i="3"/>
  <c r="J68" i="2"/>
  <c r="J67" i="2"/>
  <c r="J95" i="4"/>
  <c r="I12" i="1"/>
  <c r="J68" i="4"/>
  <c r="J67" i="4"/>
  <c r="N194" i="3"/>
  <c r="N175" i="4"/>
  <c r="J118" i="3"/>
  <c r="N31" i="3"/>
  <c r="J7" i="4"/>
  <c r="J130" i="4"/>
  <c r="J112" i="2"/>
  <c r="J111" i="2"/>
  <c r="J85" i="4"/>
  <c r="J106" i="2"/>
  <c r="J57" i="2"/>
  <c r="J56" i="2"/>
  <c r="J51" i="2"/>
  <c r="N120" i="3"/>
  <c r="N52" i="2"/>
  <c r="J206" i="3"/>
  <c r="N30" i="4"/>
  <c r="J107" i="3"/>
  <c r="J205" i="3"/>
  <c r="J183" i="2"/>
  <c r="J122" i="4"/>
  <c r="J123" i="4"/>
  <c r="J184" i="2"/>
  <c r="J120" i="3"/>
  <c r="J62" i="4"/>
  <c r="J233" i="3"/>
  <c r="J232" i="3"/>
  <c r="N62" i="2"/>
  <c r="J200" i="3"/>
  <c r="J199" i="3"/>
  <c r="J194" i="3"/>
  <c r="J74" i="3"/>
  <c r="J106" i="4"/>
  <c r="J119" i="3"/>
  <c r="J74" i="2"/>
  <c r="N227" i="3"/>
  <c r="J200" i="2"/>
  <c r="J199" i="2"/>
  <c r="N119" i="3"/>
  <c r="N41" i="4"/>
  <c r="N216" i="3"/>
  <c r="N206" i="2"/>
  <c r="N18" i="3"/>
  <c r="N206" i="3"/>
  <c r="J216" i="2"/>
  <c r="H36" i="1"/>
  <c r="J85" i="3"/>
  <c r="N174" i="3"/>
  <c r="J227" i="3"/>
  <c r="J62" i="2"/>
  <c r="N183" i="2"/>
  <c r="J205" i="4"/>
  <c r="J84" i="2"/>
  <c r="N117" i="4"/>
  <c r="J162" i="3"/>
  <c r="L12" i="1"/>
  <c r="N62" i="4"/>
  <c r="N73" i="3"/>
  <c r="J130" i="3"/>
  <c r="J217" i="2"/>
  <c r="J118" i="2"/>
  <c r="J52" i="2"/>
  <c r="G12" i="1"/>
  <c r="N106" i="4"/>
  <c r="N162" i="3"/>
  <c r="N161" i="4"/>
  <c r="N139" i="4"/>
  <c r="J41" i="2"/>
  <c r="N130" i="4"/>
  <c r="N19" i="4"/>
  <c r="J194" i="2"/>
  <c r="J42" i="2"/>
  <c r="J176" i="4"/>
  <c r="J219" i="4"/>
  <c r="J100" i="3"/>
  <c r="J101" i="3"/>
  <c r="J85" i="2"/>
  <c r="N118" i="2"/>
  <c r="F36" i="1"/>
  <c r="J117" i="4"/>
  <c r="J222" i="2"/>
  <c r="J221" i="2"/>
  <c r="N195" i="4"/>
  <c r="J133" i="2"/>
  <c r="J134" i="2"/>
  <c r="J12" i="1"/>
  <c r="J18" i="4"/>
  <c r="N176" i="4"/>
  <c r="J128" i="2"/>
  <c r="N217" i="2"/>
  <c r="N85" i="2"/>
  <c r="J30" i="2"/>
  <c r="J51" i="4"/>
  <c r="N85" i="4"/>
  <c r="N74" i="4"/>
  <c r="J19" i="4"/>
  <c r="N130" i="3"/>
  <c r="J96" i="2"/>
  <c r="J218" i="4"/>
  <c r="J227" i="4"/>
  <c r="J18" i="2"/>
  <c r="J90" i="2"/>
  <c r="J89" i="2"/>
  <c r="J112" i="4"/>
  <c r="J111" i="4"/>
  <c r="J151" i="4"/>
  <c r="N128" i="2"/>
  <c r="J155" i="3"/>
  <c r="J156" i="3"/>
  <c r="N51" i="4"/>
  <c r="N151" i="4"/>
  <c r="J7" i="2"/>
  <c r="G36" i="1"/>
  <c r="N51" i="3"/>
  <c r="N7" i="4"/>
  <c r="J100" i="2"/>
  <c r="J101" i="2"/>
  <c r="N7" i="2"/>
  <c r="J79" i="3"/>
  <c r="J78" i="3"/>
  <c r="J73" i="3"/>
  <c r="J129" i="3"/>
  <c r="N96" i="2"/>
  <c r="N85" i="3"/>
  <c r="N216" i="2"/>
  <c r="N183" i="3"/>
  <c r="N7" i="3"/>
  <c r="J173" i="3"/>
  <c r="J161" i="2"/>
  <c r="J145" i="3"/>
  <c r="J144" i="3"/>
  <c r="J150" i="3"/>
  <c r="N95" i="4"/>
  <c r="N95" i="3"/>
  <c r="N19" i="2"/>
  <c r="J145" i="2"/>
  <c r="J144" i="2"/>
  <c r="J139" i="2"/>
  <c r="N194" i="2"/>
  <c r="J41" i="4"/>
  <c r="J68" i="3"/>
  <c r="J67" i="3"/>
  <c r="J62" i="3"/>
  <c r="N139" i="3"/>
  <c r="N205" i="4"/>
  <c r="N150" i="3"/>
  <c r="J101" i="4"/>
  <c r="J100" i="4"/>
  <c r="J51" i="3"/>
  <c r="N51" i="2"/>
  <c r="N151" i="2"/>
  <c r="J139" i="3"/>
  <c r="J95" i="3"/>
  <c r="N41" i="2"/>
  <c r="J19" i="2"/>
  <c r="N129" i="3"/>
  <c r="N95" i="2"/>
  <c r="J177" i="3"/>
  <c r="J178" i="3"/>
  <c r="J211" i="4"/>
  <c r="J210" i="4"/>
  <c r="J29" i="4"/>
  <c r="J123" i="3"/>
  <c r="J122" i="3"/>
  <c r="J117" i="3"/>
  <c r="J42" i="3"/>
  <c r="N63" i="3"/>
  <c r="N184" i="2"/>
  <c r="J167" i="2"/>
  <c r="J166" i="2"/>
  <c r="N84" i="2"/>
  <c r="N107" i="3"/>
  <c r="N29" i="4"/>
  <c r="N42" i="3"/>
  <c r="J189" i="3"/>
  <c r="J188" i="3"/>
  <c r="J45" i="2"/>
  <c r="J46" i="2"/>
  <c r="J44" i="2"/>
  <c r="N74" i="3"/>
  <c r="N161" i="2"/>
  <c r="N139" i="2"/>
  <c r="N30" i="2"/>
  <c r="J172" i="3"/>
  <c r="N18" i="4"/>
  <c r="J183" i="3"/>
  <c r="J175" i="4"/>
  <c r="J63" i="3"/>
  <c r="J30" i="4"/>
  <c r="B185" i="3"/>
  <c r="B196" i="3"/>
  <c r="L28" i="2"/>
  <c r="B43" i="4"/>
  <c r="B108" i="2"/>
  <c r="M50" i="3"/>
  <c r="L50" i="3"/>
  <c r="B76" i="2"/>
  <c r="L105" i="3"/>
  <c r="M105" i="3"/>
  <c r="B218" i="3"/>
  <c r="B64" i="4"/>
  <c r="B54" i="2"/>
  <c r="B175" i="2"/>
  <c r="B208" i="4"/>
  <c r="M94" i="3"/>
  <c r="L94" i="3"/>
  <c r="B130" i="2"/>
  <c r="B20" i="3"/>
  <c r="B208" i="3"/>
  <c r="B229" i="3"/>
  <c r="B32" i="4"/>
  <c r="M226" i="3"/>
  <c r="L226" i="3"/>
  <c r="B32" i="2"/>
  <c r="B87" i="4"/>
  <c r="B9" i="3"/>
  <c r="B229" i="4"/>
  <c r="M72" i="4"/>
  <c r="L72" i="4"/>
  <c r="B185" i="4"/>
  <c r="B109" i="3"/>
  <c r="B230" i="2"/>
  <c r="M116" i="4"/>
  <c r="L116" i="4"/>
  <c r="B176" i="3"/>
  <c r="B208" i="2"/>
  <c r="B132" i="3"/>
  <c r="B164" i="3"/>
  <c r="B76" i="4"/>
  <c r="B87" i="3"/>
  <c r="B21" i="4"/>
  <c r="B196" i="2"/>
  <c r="B141" i="4"/>
  <c r="B132" i="4"/>
  <c r="B64" i="2"/>
  <c r="M160" i="2"/>
  <c r="B141" i="3"/>
  <c r="B197" i="4"/>
  <c r="B53" i="4"/>
  <c r="M204" i="4"/>
  <c r="B53" i="3"/>
  <c r="B219" i="2"/>
  <c r="B87" i="2"/>
  <c r="L193" i="4"/>
  <c r="B153" i="4"/>
  <c r="M182" i="3"/>
  <c r="L182" i="3"/>
  <c r="B9" i="4"/>
  <c r="B9" i="2"/>
  <c r="B98" i="2"/>
  <c r="B163" i="4"/>
  <c r="B97" i="4"/>
  <c r="B108" i="4"/>
  <c r="B153" i="2"/>
  <c r="B97" i="3"/>
  <c r="B152" i="3"/>
  <c r="M226" i="4"/>
  <c r="L226" i="4"/>
  <c r="B21" i="2"/>
  <c r="M28" i="4"/>
  <c r="L28" i="4"/>
  <c r="B119" i="4"/>
  <c r="B65" i="3"/>
  <c r="B186" i="2"/>
  <c r="M193" i="2"/>
  <c r="B44" i="3"/>
  <c r="B76" i="3"/>
  <c r="B163" i="2"/>
  <c r="B141" i="2"/>
  <c r="B120" i="2"/>
  <c r="M107" i="2"/>
  <c r="L174" i="2"/>
  <c r="D8" i="3"/>
  <c r="D175" i="3"/>
  <c r="D20" i="4"/>
  <c r="D220" i="4"/>
  <c r="H218" i="2"/>
  <c r="L97" i="2"/>
  <c r="D151" i="3"/>
  <c r="L185" i="2"/>
  <c r="L107" i="2"/>
  <c r="H174" i="2"/>
  <c r="L228" i="3"/>
  <c r="D228" i="4"/>
  <c r="M175" i="3"/>
  <c r="M140" i="3"/>
  <c r="H97" i="2"/>
  <c r="H107" i="2"/>
  <c r="D174" i="2"/>
  <c r="H228" i="3"/>
  <c r="D207" i="2"/>
  <c r="L20" i="4"/>
  <c r="D140" i="3"/>
  <c r="D218" i="2"/>
  <c r="D97" i="2"/>
  <c r="M151" i="3"/>
  <c r="H43" i="3"/>
  <c r="D33" i="3"/>
  <c r="M207" i="2"/>
  <c r="M20" i="4"/>
  <c r="H140" i="3"/>
  <c r="M162" i="4"/>
  <c r="H151" i="3"/>
  <c r="D43" i="3"/>
  <c r="L131" i="3"/>
  <c r="D163" i="3"/>
  <c r="M129" i="2"/>
  <c r="L107" i="4"/>
  <c r="H31" i="2"/>
  <c r="H118" i="4"/>
  <c r="L8" i="2"/>
  <c r="D152" i="2"/>
  <c r="D63" i="2"/>
  <c r="H207" i="3"/>
  <c r="M121" i="3"/>
  <c r="M174" i="2"/>
  <c r="M97" i="2"/>
  <c r="L195" i="2"/>
  <c r="H75" i="2"/>
  <c r="H31" i="4"/>
  <c r="H196" i="4"/>
  <c r="L20" i="2"/>
  <c r="D196" i="4"/>
  <c r="H20" i="2"/>
  <c r="H96" i="4"/>
  <c r="L152" i="4"/>
  <c r="H108" i="3"/>
  <c r="M107" i="4"/>
  <c r="L184" i="3"/>
  <c r="L131" i="4"/>
  <c r="M118" i="4"/>
  <c r="L31" i="2"/>
  <c r="D52" i="4"/>
  <c r="L19" i="3"/>
  <c r="M131" i="4"/>
  <c r="L162" i="2"/>
  <c r="M52" i="3"/>
  <c r="D140" i="2"/>
  <c r="M53" i="2"/>
  <c r="H175" i="3"/>
  <c r="M185" i="2"/>
  <c r="D107" i="2"/>
  <c r="H220" i="4"/>
  <c r="H185" i="2"/>
  <c r="L175" i="3"/>
  <c r="M184" i="4"/>
  <c r="M96" i="4"/>
  <c r="L96" i="4"/>
  <c r="H140" i="4"/>
  <c r="D217" i="3"/>
  <c r="H184" i="4"/>
  <c r="M52" i="4"/>
  <c r="M163" i="3"/>
  <c r="M162" i="2"/>
  <c r="H163" i="3"/>
  <c r="L118" i="4"/>
  <c r="M195" i="3"/>
  <c r="L163" i="3"/>
  <c r="M229" i="2"/>
  <c r="M42" i="4"/>
  <c r="H63" i="2"/>
  <c r="M119" i="2"/>
  <c r="D86" i="4"/>
  <c r="L64" i="3"/>
  <c r="L86" i="3"/>
  <c r="D42" i="4"/>
  <c r="L8" i="3"/>
  <c r="M228" i="4"/>
  <c r="M207" i="4"/>
  <c r="M33" i="3"/>
  <c r="L228" i="4"/>
  <c r="M86" i="2"/>
  <c r="D162" i="4"/>
  <c r="L151" i="3"/>
  <c r="D140" i="4"/>
  <c r="M184" i="3"/>
  <c r="M75" i="3"/>
  <c r="D152" i="4"/>
  <c r="L129" i="2"/>
  <c r="D96" i="4"/>
  <c r="L52" i="4"/>
  <c r="M217" i="3"/>
  <c r="H129" i="2"/>
  <c r="H217" i="3"/>
  <c r="L152" i="2"/>
  <c r="L121" i="3"/>
  <c r="D53" i="2"/>
  <c r="D8" i="2"/>
  <c r="H119" i="2"/>
  <c r="M8" i="3"/>
  <c r="L96" i="3"/>
  <c r="D86" i="3"/>
  <c r="H20" i="4"/>
  <c r="D75" i="2"/>
  <c r="L207" i="4"/>
  <c r="H33" i="3"/>
  <c r="H228" i="4"/>
  <c r="H207" i="2"/>
  <c r="H195" i="2"/>
  <c r="L140" i="3"/>
  <c r="L86" i="2"/>
  <c r="M43" i="3"/>
  <c r="M75" i="2"/>
  <c r="H207" i="4"/>
  <c r="L33" i="3"/>
  <c r="P29" i="3" s="1"/>
  <c r="L207" i="2"/>
  <c r="M196" i="4"/>
  <c r="H86" i="2"/>
  <c r="L162" i="4"/>
  <c r="L43" i="3"/>
  <c r="L75" i="2"/>
  <c r="D207" i="4"/>
  <c r="M31" i="4"/>
  <c r="H131" i="3"/>
  <c r="M195" i="2"/>
  <c r="L196" i="4"/>
  <c r="D86" i="2"/>
  <c r="H162" i="4"/>
  <c r="H75" i="3"/>
  <c r="L31" i="4"/>
  <c r="D131" i="3"/>
  <c r="D195" i="2"/>
  <c r="M20" i="2"/>
  <c r="D75" i="3"/>
  <c r="M131" i="3"/>
  <c r="M152" i="4"/>
  <c r="L75" i="3"/>
  <c r="L184" i="4"/>
  <c r="L140" i="4"/>
  <c r="H152" i="4"/>
  <c r="H184" i="3"/>
  <c r="D31" i="4"/>
  <c r="D184" i="4"/>
  <c r="D20" i="2"/>
  <c r="D184" i="3"/>
  <c r="D162" i="2"/>
  <c r="D129" i="2"/>
  <c r="M140" i="4"/>
  <c r="D108" i="3"/>
  <c r="H52" i="4"/>
  <c r="D195" i="3"/>
  <c r="L217" i="3"/>
  <c r="H131" i="4"/>
  <c r="H162" i="2"/>
  <c r="M108" i="3"/>
  <c r="M8" i="4"/>
  <c r="L86" i="4"/>
  <c r="D229" i="2"/>
  <c r="H42" i="4"/>
  <c r="M86" i="3"/>
  <c r="L207" i="3"/>
  <c r="M96" i="3"/>
  <c r="M220" i="4"/>
  <c r="H53" i="2"/>
  <c r="H96" i="3"/>
  <c r="D228" i="3"/>
  <c r="L218" i="2"/>
  <c r="D107" i="4"/>
  <c r="L220" i="4"/>
  <c r="P216" i="4" s="1"/>
  <c r="L195" i="3"/>
  <c r="M63" i="4"/>
  <c r="H19" i="3"/>
  <c r="M31" i="2"/>
  <c r="L108" i="3"/>
  <c r="M75" i="4"/>
  <c r="D131" i="4"/>
  <c r="D52" i="3"/>
  <c r="L8" i="4"/>
  <c r="H107" i="4"/>
  <c r="D118" i="4"/>
  <c r="M140" i="2"/>
  <c r="L140" i="2"/>
  <c r="D63" i="4"/>
  <c r="H75" i="4"/>
  <c r="H52" i="3"/>
  <c r="M152" i="2"/>
  <c r="H140" i="2"/>
  <c r="M86" i="4"/>
  <c r="M63" i="2"/>
  <c r="M64" i="3"/>
  <c r="H63" i="4"/>
  <c r="L63" i="2"/>
  <c r="D64" i="3"/>
  <c r="H121" i="3"/>
  <c r="D121" i="3"/>
  <c r="P117" i="3" s="1"/>
  <c r="H86" i="3"/>
  <c r="D119" i="2"/>
  <c r="M228" i="3"/>
  <c r="H8" i="3"/>
  <c r="H195" i="3"/>
  <c r="L63" i="4"/>
  <c r="D19" i="3"/>
  <c r="D31" i="2"/>
  <c r="L229" i="2"/>
  <c r="L75" i="4"/>
  <c r="L52" i="3"/>
  <c r="H8" i="4"/>
  <c r="H229" i="2"/>
  <c r="D8" i="4"/>
  <c r="M19" i="3"/>
  <c r="H152" i="2"/>
  <c r="D207" i="3"/>
  <c r="D75" i="4"/>
  <c r="H64" i="3"/>
  <c r="H86" i="4"/>
  <c r="H8" i="2"/>
  <c r="M207" i="3"/>
  <c r="L119" i="2"/>
  <c r="L53" i="2"/>
  <c r="M8" i="2"/>
  <c r="M218" i="2"/>
  <c r="D96" i="3"/>
  <c r="L42" i="4"/>
  <c r="D185" i="2"/>
  <c r="N218" i="2" l="1"/>
  <c r="N8" i="2"/>
  <c r="N207" i="3"/>
  <c r="J8" i="2"/>
  <c r="J86" i="4"/>
  <c r="J64" i="3"/>
  <c r="J152" i="2"/>
  <c r="N19" i="3"/>
  <c r="J229" i="2"/>
  <c r="J8" i="4"/>
  <c r="J195" i="3"/>
  <c r="J8" i="3"/>
  <c r="N228" i="3"/>
  <c r="J86" i="3"/>
  <c r="J121" i="3"/>
  <c r="J63" i="4"/>
  <c r="N64" i="3"/>
  <c r="N63" i="2"/>
  <c r="N86" i="4"/>
  <c r="J140" i="2"/>
  <c r="N152" i="2"/>
  <c r="J52" i="3"/>
  <c r="J75" i="4"/>
  <c r="N140" i="2"/>
  <c r="J107" i="4"/>
  <c r="N75" i="4"/>
  <c r="N31" i="2"/>
  <c r="J19" i="3"/>
  <c r="N63" i="4"/>
  <c r="J96" i="3"/>
  <c r="J53" i="2"/>
  <c r="N220" i="4"/>
  <c r="N96" i="3"/>
  <c r="N86" i="3"/>
  <c r="J42" i="4"/>
  <c r="N8" i="4"/>
  <c r="N108" i="3"/>
  <c r="J162" i="2"/>
  <c r="J131" i="4"/>
  <c r="J52" i="4"/>
  <c r="N140" i="4"/>
  <c r="J184" i="3"/>
  <c r="J152" i="4"/>
  <c r="N152" i="4"/>
  <c r="N131" i="3"/>
  <c r="N20" i="2"/>
  <c r="J75" i="3"/>
  <c r="J162" i="4"/>
  <c r="N195" i="2"/>
  <c r="J131" i="3"/>
  <c r="N31" i="4"/>
  <c r="J86" i="2"/>
  <c r="N196" i="4"/>
  <c r="J207" i="4"/>
  <c r="N75" i="2"/>
  <c r="N43" i="3"/>
  <c r="J195" i="2"/>
  <c r="J207" i="2"/>
  <c r="J228" i="4"/>
  <c r="J33" i="3"/>
  <c r="J20" i="4"/>
  <c r="N8" i="3"/>
  <c r="J119" i="2"/>
  <c r="J217" i="3"/>
  <c r="J129" i="2"/>
  <c r="N217" i="3"/>
  <c r="N75" i="3"/>
  <c r="N184" i="3"/>
  <c r="N86" i="2"/>
  <c r="N33" i="3"/>
  <c r="N207" i="4"/>
  <c r="N228" i="4"/>
  <c r="N119" i="2"/>
  <c r="J63" i="2"/>
  <c r="N42" i="4"/>
  <c r="N229" i="2"/>
  <c r="N195" i="3"/>
  <c r="J163" i="3"/>
  <c r="N162" i="2"/>
  <c r="N163" i="3"/>
  <c r="N52" i="4"/>
  <c r="J184" i="4"/>
  <c r="J140" i="4"/>
  <c r="N96" i="4"/>
  <c r="N184" i="4"/>
  <c r="J185" i="2"/>
  <c r="J220" i="4"/>
  <c r="N185" i="2"/>
  <c r="J175" i="3"/>
  <c r="N53" i="2"/>
  <c r="N52" i="3"/>
  <c r="N131" i="4"/>
  <c r="N118" i="4"/>
  <c r="N107" i="4"/>
  <c r="J108" i="3"/>
  <c r="J96" i="4"/>
  <c r="J20" i="2"/>
  <c r="J196" i="4"/>
  <c r="J31" i="4"/>
  <c r="J75" i="2"/>
  <c r="N97" i="2"/>
  <c r="N174" i="2"/>
  <c r="N121" i="3"/>
  <c r="J207" i="3"/>
  <c r="J118" i="4"/>
  <c r="J31" i="2"/>
  <c r="N129" i="2"/>
  <c r="J151" i="3"/>
  <c r="N162" i="4"/>
  <c r="J140" i="3"/>
  <c r="N20" i="4"/>
  <c r="N207" i="2"/>
  <c r="J34" i="3"/>
  <c r="J35" i="3"/>
  <c r="J43" i="3"/>
  <c r="N151" i="3"/>
  <c r="J228" i="3"/>
  <c r="J107" i="2"/>
  <c r="J97" i="2"/>
  <c r="N140" i="3"/>
  <c r="N175" i="3"/>
  <c r="J174" i="2"/>
  <c r="J218" i="2"/>
  <c r="N107" i="2"/>
  <c r="B109" i="2"/>
  <c r="B10" i="3"/>
  <c r="B44" i="4"/>
  <c r="B142" i="2"/>
  <c r="B54" i="3"/>
  <c r="B231" i="2"/>
  <c r="B66" i="3"/>
  <c r="B65" i="2"/>
  <c r="B21" i="3"/>
  <c r="B120" i="4"/>
  <c r="B121" i="2"/>
  <c r="B55" i="2"/>
  <c r="B10" i="4"/>
  <c r="B77" i="4"/>
  <c r="B65" i="4"/>
  <c r="B88" i="4"/>
  <c r="B197" i="3"/>
  <c r="B154" i="2"/>
  <c r="B187" i="2"/>
  <c r="B98" i="3"/>
  <c r="B110" i="3"/>
  <c r="B142" i="4"/>
  <c r="B54" i="4"/>
  <c r="B98" i="4"/>
  <c r="B198" i="4"/>
  <c r="B186" i="4"/>
  <c r="B209" i="4"/>
  <c r="B22" i="2"/>
  <c r="B197" i="2"/>
  <c r="B164" i="4"/>
  <c r="B219" i="3"/>
  <c r="B131" i="2"/>
  <c r="B77" i="2"/>
  <c r="B142" i="3"/>
  <c r="B209" i="2"/>
  <c r="B176" i="2"/>
  <c r="B99" i="2"/>
  <c r="B109" i="4"/>
  <c r="B164" i="2"/>
  <c r="B165" i="3"/>
  <c r="B186" i="3"/>
  <c r="B77" i="3"/>
  <c r="B10" i="2"/>
  <c r="B88" i="3"/>
  <c r="B33" i="2"/>
  <c r="B33" i="4"/>
  <c r="B209" i="3"/>
  <c r="B154" i="4"/>
  <c r="B88" i="2"/>
  <c r="B230" i="4"/>
  <c r="B153" i="3"/>
  <c r="B220" i="2"/>
  <c r="B22" i="4"/>
  <c r="B230" i="3"/>
  <c r="D53" i="3"/>
  <c r="L132" i="4"/>
  <c r="H87" i="4"/>
  <c r="H109" i="3"/>
  <c r="H208" i="4"/>
  <c r="L132" i="3"/>
  <c r="H98" i="2"/>
  <c r="H76" i="3"/>
  <c r="M208" i="3"/>
  <c r="L230" i="2"/>
  <c r="D132" i="4"/>
  <c r="H141" i="4"/>
  <c r="D208" i="4"/>
  <c r="M132" i="3"/>
  <c r="D98" i="2"/>
  <c r="D76" i="3"/>
  <c r="M21" i="4"/>
  <c r="H230" i="2"/>
  <c r="M87" i="4"/>
  <c r="M141" i="4"/>
  <c r="M208" i="4"/>
  <c r="H132" i="3"/>
  <c r="M98" i="2"/>
  <c r="L9" i="2"/>
  <c r="D208" i="3"/>
  <c r="H21" i="4"/>
  <c r="M120" i="2"/>
  <c r="D87" i="4"/>
  <c r="L141" i="4"/>
  <c r="D21" i="2"/>
  <c r="D132" i="3"/>
  <c r="P128" i="3" s="1"/>
  <c r="L98" i="2"/>
  <c r="D9" i="2"/>
  <c r="D153" i="4"/>
  <c r="D21" i="4"/>
  <c r="M230" i="2"/>
  <c r="M153" i="4"/>
  <c r="M108" i="2"/>
  <c r="D120" i="2"/>
  <c r="L229" i="3"/>
  <c r="H108" i="2"/>
  <c r="M54" i="2"/>
  <c r="D196" i="2"/>
  <c r="D87" i="3"/>
  <c r="M9" i="3"/>
  <c r="M153" i="2"/>
  <c r="L108" i="4"/>
  <c r="M87" i="2"/>
  <c r="L196" i="2"/>
  <c r="D44" i="3"/>
  <c r="L163" i="4"/>
  <c r="H43" i="4"/>
  <c r="M186" i="2"/>
  <c r="M229" i="4"/>
  <c r="D208" i="2"/>
  <c r="H208" i="3"/>
  <c r="L196" i="3"/>
  <c r="M76" i="2"/>
  <c r="H54" i="2"/>
  <c r="M196" i="2"/>
  <c r="H87" i="2"/>
  <c r="L64" i="2"/>
  <c r="L87" i="3"/>
  <c r="H9" i="4"/>
  <c r="D87" i="2"/>
  <c r="L153" i="2"/>
  <c r="H163" i="2"/>
  <c r="M64" i="2"/>
  <c r="D163" i="2"/>
  <c r="L32" i="2"/>
  <c r="M43" i="4"/>
  <c r="L9" i="4"/>
  <c r="D141" i="3"/>
  <c r="H186" i="2"/>
  <c r="H21" i="2"/>
  <c r="L53" i="4"/>
  <c r="L44" i="3"/>
  <c r="H9" i="3"/>
  <c r="H44" i="3"/>
  <c r="D64" i="2"/>
  <c r="L163" i="2"/>
  <c r="H229" i="4"/>
  <c r="L43" i="4"/>
  <c r="L97" i="4"/>
  <c r="H141" i="3"/>
  <c r="D197" i="4"/>
  <c r="M141" i="3"/>
  <c r="D229" i="3"/>
  <c r="H97" i="4"/>
  <c r="L186" i="2"/>
  <c r="L20" i="3"/>
  <c r="D108" i="2"/>
  <c r="L120" i="2"/>
  <c r="M21" i="2"/>
  <c r="L21" i="4"/>
  <c r="D230" i="2"/>
  <c r="M196" i="3"/>
  <c r="D141" i="4"/>
  <c r="H108" i="4"/>
  <c r="M9" i="2"/>
  <c r="L65" i="3"/>
  <c r="H120" i="2"/>
  <c r="H196" i="3"/>
  <c r="H53" i="4"/>
  <c r="L21" i="2"/>
  <c r="L76" i="2"/>
  <c r="D108" i="4"/>
  <c r="H9" i="2"/>
  <c r="L153" i="4"/>
  <c r="M229" i="3"/>
  <c r="L108" i="2"/>
  <c r="H65" i="3"/>
  <c r="M53" i="4"/>
  <c r="H76" i="2"/>
  <c r="H87" i="3"/>
  <c r="H153" i="4"/>
  <c r="M65" i="3"/>
  <c r="D196" i="3"/>
  <c r="D76" i="2"/>
  <c r="M108" i="4"/>
  <c r="H229" i="3"/>
  <c r="D65" i="3"/>
  <c r="L54" i="2"/>
  <c r="M44" i="3"/>
  <c r="P40" i="3" s="1"/>
  <c r="L9" i="3"/>
  <c r="H153" i="2"/>
  <c r="D53" i="4"/>
  <c r="M87" i="3"/>
  <c r="D54" i="2"/>
  <c r="M163" i="2"/>
  <c r="H196" i="2"/>
  <c r="H164" i="3"/>
  <c r="D32" i="2"/>
  <c r="L164" i="3"/>
  <c r="M164" i="3"/>
  <c r="D229" i="4"/>
  <c r="D186" i="2"/>
  <c r="H141" i="2"/>
  <c r="H20" i="3"/>
  <c r="D76" i="4"/>
  <c r="D97" i="3"/>
  <c r="L197" i="4"/>
  <c r="M218" i="3"/>
  <c r="H32" i="4"/>
  <c r="M152" i="3"/>
  <c r="D141" i="2"/>
  <c r="M76" i="4"/>
  <c r="L218" i="3"/>
  <c r="M208" i="2"/>
  <c r="L185" i="3"/>
  <c r="L152" i="3"/>
  <c r="L76" i="4"/>
  <c r="M97" i="3"/>
  <c r="H218" i="3"/>
  <c r="L208" i="2"/>
  <c r="D32" i="4"/>
  <c r="H152" i="3"/>
  <c r="M141" i="2"/>
  <c r="L119" i="4"/>
  <c r="L97" i="3"/>
  <c r="M185" i="4"/>
  <c r="D218" i="3"/>
  <c r="H208" i="2"/>
  <c r="H176" i="3"/>
  <c r="D152" i="3"/>
  <c r="L141" i="2"/>
  <c r="H119" i="4"/>
  <c r="H97" i="3"/>
  <c r="D185" i="4"/>
  <c r="H130" i="2"/>
  <c r="D175" i="2"/>
  <c r="H185" i="3"/>
  <c r="M176" i="3"/>
  <c r="D219" i="2"/>
  <c r="H53" i="3"/>
  <c r="D119" i="4"/>
  <c r="M64" i="4"/>
  <c r="D130" i="2"/>
  <c r="D185" i="3"/>
  <c r="M53" i="3"/>
  <c r="L64" i="4"/>
  <c r="L109" i="3"/>
  <c r="L185" i="4"/>
  <c r="M175" i="2"/>
  <c r="D176" i="3"/>
  <c r="M219" i="2"/>
  <c r="M132" i="4"/>
  <c r="P128" i="4" s="1"/>
  <c r="D109" i="3"/>
  <c r="M130" i="2"/>
  <c r="M76" i="3"/>
  <c r="L208" i="3"/>
  <c r="L219" i="2"/>
  <c r="M97" i="4"/>
  <c r="D9" i="4"/>
  <c r="L141" i="3"/>
  <c r="M32" i="2"/>
  <c r="H163" i="4"/>
  <c r="D164" i="3"/>
  <c r="M20" i="3"/>
  <c r="D163" i="4"/>
  <c r="M197" i="4"/>
  <c r="D20" i="3"/>
  <c r="M32" i="4"/>
  <c r="M119" i="4"/>
  <c r="H185" i="4"/>
  <c r="D64" i="4"/>
  <c r="M185" i="3"/>
  <c r="L176" i="3"/>
  <c r="P172" i="3" s="1"/>
  <c r="H64" i="4"/>
  <c r="L175" i="2"/>
  <c r="H32" i="2"/>
  <c r="M9" i="4"/>
  <c r="D43" i="4"/>
  <c r="H197" i="4"/>
  <c r="L53" i="3"/>
  <c r="H132" i="4"/>
  <c r="L87" i="4"/>
  <c r="M109" i="3"/>
  <c r="L208" i="4"/>
  <c r="L130" i="2"/>
  <c r="H175" i="2"/>
  <c r="L76" i="3"/>
  <c r="H219" i="2"/>
  <c r="D153" i="2"/>
  <c r="L87" i="2"/>
  <c r="D9" i="3"/>
  <c r="M163" i="4"/>
  <c r="H64" i="2"/>
  <c r="D97" i="4"/>
  <c r="L229" i="4"/>
  <c r="L32" i="4"/>
  <c r="H76" i="4"/>
  <c r="J76" i="4" l="1"/>
  <c r="J64" i="2"/>
  <c r="N163" i="4"/>
  <c r="J219" i="2"/>
  <c r="J175" i="2"/>
  <c r="N109" i="3"/>
  <c r="J132" i="4"/>
  <c r="J197" i="4"/>
  <c r="N9" i="4"/>
  <c r="J32" i="2"/>
  <c r="J64" i="4"/>
  <c r="N185" i="3"/>
  <c r="J185" i="4"/>
  <c r="N119" i="4"/>
  <c r="N32" i="4"/>
  <c r="N197" i="4"/>
  <c r="N20" i="3"/>
  <c r="J163" i="4"/>
  <c r="N32" i="2"/>
  <c r="N97" i="4"/>
  <c r="N76" i="3"/>
  <c r="N130" i="2"/>
  <c r="N132" i="4"/>
  <c r="N219" i="2"/>
  <c r="N175" i="2"/>
  <c r="N53" i="3"/>
  <c r="N64" i="4"/>
  <c r="J53" i="3"/>
  <c r="N176" i="3"/>
  <c r="J185" i="3"/>
  <c r="J130" i="2"/>
  <c r="J97" i="3"/>
  <c r="J119" i="4"/>
  <c r="J176" i="3"/>
  <c r="J208" i="2"/>
  <c r="N185" i="4"/>
  <c r="N141" i="2"/>
  <c r="J152" i="3"/>
  <c r="J218" i="3"/>
  <c r="N97" i="3"/>
  <c r="N208" i="2"/>
  <c r="N76" i="4"/>
  <c r="N152" i="3"/>
  <c r="J32" i="4"/>
  <c r="N218" i="3"/>
  <c r="J20" i="3"/>
  <c r="J141" i="2"/>
  <c r="N164" i="3"/>
  <c r="J164" i="3"/>
  <c r="J196" i="2"/>
  <c r="N163" i="2"/>
  <c r="N87" i="3"/>
  <c r="J153" i="2"/>
  <c r="N44" i="3"/>
  <c r="J229" i="3"/>
  <c r="N108" i="4"/>
  <c r="N65" i="3"/>
  <c r="J153" i="4"/>
  <c r="J87" i="3"/>
  <c r="J76" i="2"/>
  <c r="N53" i="4"/>
  <c r="J65" i="3"/>
  <c r="N229" i="3"/>
  <c r="J9" i="2"/>
  <c r="J53" i="4"/>
  <c r="J196" i="3"/>
  <c r="J120" i="2"/>
  <c r="N9" i="2"/>
  <c r="J108" i="4"/>
  <c r="N196" i="3"/>
  <c r="N21" i="2"/>
  <c r="J97" i="4"/>
  <c r="N141" i="3"/>
  <c r="J141" i="3"/>
  <c r="J229" i="4"/>
  <c r="J44" i="3"/>
  <c r="J9" i="3"/>
  <c r="J21" i="2"/>
  <c r="J186" i="2"/>
  <c r="N43" i="4"/>
  <c r="N64" i="2"/>
  <c r="J163" i="2"/>
  <c r="J9" i="4"/>
  <c r="J87" i="2"/>
  <c r="N196" i="2"/>
  <c r="J54" i="2"/>
  <c r="N76" i="2"/>
  <c r="J208" i="3"/>
  <c r="N229" i="4"/>
  <c r="N186" i="2"/>
  <c r="J43" i="4"/>
  <c r="J45" i="3"/>
  <c r="J46" i="3"/>
  <c r="N87" i="2"/>
  <c r="N153" i="2"/>
  <c r="N9" i="3"/>
  <c r="N54" i="2"/>
  <c r="J108" i="2"/>
  <c r="N108" i="2"/>
  <c r="N153" i="4"/>
  <c r="N230" i="2"/>
  <c r="N120" i="2"/>
  <c r="J21" i="4"/>
  <c r="N98" i="2"/>
  <c r="J132" i="3"/>
  <c r="N208" i="4"/>
  <c r="N141" i="4"/>
  <c r="N87" i="4"/>
  <c r="J230" i="2"/>
  <c r="N21" i="4"/>
  <c r="N132" i="3"/>
  <c r="J141" i="4"/>
  <c r="N208" i="3"/>
  <c r="J76" i="3"/>
  <c r="J98" i="2"/>
  <c r="J208" i="4"/>
  <c r="J109" i="3"/>
  <c r="J87" i="4"/>
  <c r="B165" i="4"/>
  <c r="B22" i="3"/>
  <c r="B187" i="3"/>
  <c r="B154" i="3"/>
  <c r="B55" i="3"/>
  <c r="B132" i="2"/>
  <c r="B121" i="4"/>
  <c r="B187" i="4"/>
  <c r="B66" i="4"/>
  <c r="B143" i="2"/>
  <c r="B99" i="3"/>
  <c r="B99" i="4"/>
  <c r="B11" i="3"/>
  <c r="B55" i="4"/>
  <c r="B110" i="4"/>
  <c r="B198" i="3"/>
  <c r="B110" i="2"/>
  <c r="B231" i="3"/>
  <c r="B11" i="4"/>
  <c r="B231" i="4"/>
  <c r="B198" i="2"/>
  <c r="B220" i="3"/>
  <c r="B66" i="2"/>
  <c r="B143" i="3"/>
  <c r="B165" i="2"/>
  <c r="B11" i="2"/>
  <c r="B143" i="4"/>
  <c r="H164" i="4"/>
  <c r="M33" i="2"/>
  <c r="M220" i="2"/>
  <c r="D98" i="3"/>
  <c r="L88" i="3"/>
  <c r="D230" i="3"/>
  <c r="L197" i="2"/>
  <c r="L164" i="2"/>
  <c r="L231" i="2"/>
  <c r="H121" i="2"/>
  <c r="M65" i="2"/>
  <c r="H109" i="4"/>
  <c r="M209" i="2"/>
  <c r="M154" i="4"/>
  <c r="L54" i="3"/>
  <c r="H65" i="2"/>
  <c r="H88" i="4"/>
  <c r="L209" i="2"/>
  <c r="L22" i="2"/>
  <c r="D33" i="4"/>
  <c r="H187" i="2"/>
  <c r="L22" i="4"/>
  <c r="M197" i="3"/>
  <c r="D77" i="3"/>
  <c r="D88" i="2"/>
  <c r="L186" i="3"/>
  <c r="M98" i="4"/>
  <c r="H131" i="2"/>
  <c r="M142" i="3"/>
  <c r="D65" i="4"/>
  <c r="D230" i="4"/>
  <c r="M230" i="4"/>
  <c r="D142" i="3"/>
  <c r="D164" i="2"/>
  <c r="M164" i="4"/>
  <c r="D120" i="4"/>
  <c r="L230" i="3"/>
  <c r="M231" i="2"/>
  <c r="M154" i="2"/>
  <c r="L33" i="2"/>
  <c r="H220" i="2"/>
  <c r="M98" i="3"/>
  <c r="L54" i="4"/>
  <c r="H230" i="3"/>
  <c r="M66" i="3"/>
  <c r="H231" i="2"/>
  <c r="D165" i="3"/>
  <c r="D66" i="3"/>
  <c r="M165" i="3"/>
  <c r="M209" i="4"/>
  <c r="D154" i="4"/>
  <c r="D186" i="4"/>
  <c r="L154" i="4"/>
  <c r="P150" i="4" s="1"/>
  <c r="L65" i="2"/>
  <c r="H21" i="3"/>
  <c r="M109" i="4"/>
  <c r="H186" i="4"/>
  <c r="D22" i="2"/>
  <c r="M110" i="3"/>
  <c r="M22" i="2"/>
  <c r="M187" i="2"/>
  <c r="D22" i="4"/>
  <c r="H110" i="3"/>
  <c r="D77" i="4"/>
  <c r="L77" i="3"/>
  <c r="H44" i="4"/>
  <c r="D98" i="4"/>
  <c r="H142" i="2"/>
  <c r="L10" i="3"/>
  <c r="M153" i="3"/>
  <c r="L230" i="4"/>
  <c r="L164" i="4"/>
  <c r="H197" i="2"/>
  <c r="D164" i="4"/>
  <c r="L220" i="2"/>
  <c r="M164" i="2"/>
  <c r="L154" i="2"/>
  <c r="H33" i="2"/>
  <c r="D220" i="2"/>
  <c r="P216" i="2" s="1"/>
  <c r="L98" i="3"/>
  <c r="M99" i="2"/>
  <c r="M219" i="3"/>
  <c r="L66" i="3"/>
  <c r="P62" i="3" s="1"/>
  <c r="D231" i="2"/>
  <c r="P227" i="2" s="1"/>
  <c r="H66" i="3"/>
  <c r="L121" i="2"/>
  <c r="D154" i="2"/>
  <c r="P150" i="2" s="1"/>
  <c r="H54" i="4"/>
  <c r="H219" i="3"/>
  <c r="L176" i="2"/>
  <c r="D99" i="2"/>
  <c r="H165" i="3"/>
  <c r="D121" i="2"/>
  <c r="H209" i="3"/>
  <c r="D209" i="2"/>
  <c r="P205" i="2" s="1"/>
  <c r="M88" i="4"/>
  <c r="L88" i="4"/>
  <c r="H209" i="2"/>
  <c r="H22" i="2"/>
  <c r="P18" i="2" s="1"/>
  <c r="M10" i="4"/>
  <c r="D21" i="3"/>
  <c r="H197" i="3"/>
  <c r="M22" i="4"/>
  <c r="H77" i="3"/>
  <c r="H88" i="2"/>
  <c r="L187" i="2"/>
  <c r="L110" i="3"/>
  <c r="H186" i="3"/>
  <c r="L55" i="2"/>
  <c r="D10" i="2"/>
  <c r="L142" i="3"/>
  <c r="D198" i="4"/>
  <c r="M131" i="2"/>
  <c r="H77" i="2"/>
  <c r="D142" i="2"/>
  <c r="H10" i="3"/>
  <c r="D10" i="3"/>
  <c r="M230" i="3"/>
  <c r="D197" i="2"/>
  <c r="H154" i="2"/>
  <c r="D33" i="2"/>
  <c r="P29" i="2" s="1"/>
  <c r="M176" i="2"/>
  <c r="L165" i="3"/>
  <c r="P161" i="3" s="1"/>
  <c r="M54" i="4"/>
  <c r="H99" i="2"/>
  <c r="L219" i="3"/>
  <c r="H176" i="2"/>
  <c r="L99" i="2"/>
  <c r="P95" i="2" s="1"/>
  <c r="M121" i="2"/>
  <c r="P117" i="2" s="1"/>
  <c r="L209" i="4"/>
  <c r="D54" i="4"/>
  <c r="H154" i="4"/>
  <c r="L209" i="3"/>
  <c r="L109" i="4"/>
  <c r="H209" i="4"/>
  <c r="H10" i="4"/>
  <c r="D10" i="4"/>
  <c r="L21" i="3"/>
  <c r="L186" i="4"/>
  <c r="D88" i="4"/>
  <c r="P84" i="4" s="1"/>
  <c r="D187" i="2"/>
  <c r="P183" i="2" s="1"/>
  <c r="L88" i="2"/>
  <c r="D110" i="3"/>
  <c r="P106" i="3" s="1"/>
  <c r="L33" i="4"/>
  <c r="H33" i="4"/>
  <c r="M77" i="3"/>
  <c r="P73" i="3" s="1"/>
  <c r="D197" i="3"/>
  <c r="L10" i="2"/>
  <c r="H65" i="4"/>
  <c r="M55" i="2"/>
  <c r="D131" i="2"/>
  <c r="M77" i="2"/>
  <c r="M10" i="3"/>
  <c r="L120" i="4"/>
  <c r="M142" i="4"/>
  <c r="D109" i="2"/>
  <c r="H142" i="4"/>
  <c r="H153" i="3"/>
  <c r="L142" i="2"/>
  <c r="D209" i="4"/>
  <c r="P205" i="4" s="1"/>
  <c r="M209" i="3"/>
  <c r="D219" i="3"/>
  <c r="D176" i="2"/>
  <c r="P172" i="2" s="1"/>
  <c r="L10" i="4"/>
  <c r="D209" i="3"/>
  <c r="P205" i="3" s="1"/>
  <c r="D109" i="4"/>
  <c r="M186" i="4"/>
  <c r="D54" i="3"/>
  <c r="D65" i="2"/>
  <c r="M54" i="3"/>
  <c r="M88" i="2"/>
  <c r="P84" i="2" s="1"/>
  <c r="H54" i="3"/>
  <c r="M33" i="4"/>
  <c r="P29" i="4" s="1"/>
  <c r="M21" i="3"/>
  <c r="H10" i="2"/>
  <c r="M186" i="3"/>
  <c r="L197" i="3"/>
  <c r="H22" i="4"/>
  <c r="P18" i="4" s="1"/>
  <c r="L44" i="4"/>
  <c r="M77" i="4"/>
  <c r="M198" i="4"/>
  <c r="D77" i="2"/>
  <c r="M109" i="2"/>
  <c r="H198" i="4"/>
  <c r="H109" i="2"/>
  <c r="M142" i="2"/>
  <c r="H120" i="4"/>
  <c r="H164" i="2"/>
  <c r="D153" i="3"/>
  <c r="D142" i="4"/>
  <c r="H98" i="3"/>
  <c r="D186" i="3"/>
  <c r="M65" i="4"/>
  <c r="L98" i="4"/>
  <c r="H55" i="2"/>
  <c r="L77" i="4"/>
  <c r="P73" i="4" s="1"/>
  <c r="M44" i="4"/>
  <c r="M10" i="2"/>
  <c r="L131" i="2"/>
  <c r="L65" i="4"/>
  <c r="D55" i="2"/>
  <c r="P51" i="2" s="1"/>
  <c r="H77" i="4"/>
  <c r="D44" i="4"/>
  <c r="P40" i="4" s="1"/>
  <c r="L77" i="2"/>
  <c r="P73" i="2" s="1"/>
  <c r="H230" i="4"/>
  <c r="L109" i="2"/>
  <c r="H142" i="3"/>
  <c r="L142" i="4"/>
  <c r="L153" i="3"/>
  <c r="M197" i="2"/>
  <c r="H88" i="3"/>
  <c r="D88" i="3"/>
  <c r="H98" i="4"/>
  <c r="L198" i="4"/>
  <c r="P194" i="4" s="1"/>
  <c r="M120" i="4"/>
  <c r="M88" i="3"/>
  <c r="P84" i="3" s="1"/>
  <c r="N88" i="3" l="1"/>
  <c r="N120" i="4"/>
  <c r="J98" i="4"/>
  <c r="J88" i="3"/>
  <c r="N197" i="2"/>
  <c r="J142" i="3"/>
  <c r="J230" i="4"/>
  <c r="J45" i="4"/>
  <c r="J46" i="4"/>
  <c r="J77" i="4"/>
  <c r="N10" i="2"/>
  <c r="N44" i="4"/>
  <c r="J55" i="2"/>
  <c r="N65" i="4"/>
  <c r="J98" i="3"/>
  <c r="J164" i="2"/>
  <c r="J120" i="4"/>
  <c r="N142" i="2"/>
  <c r="J109" i="2"/>
  <c r="J198" i="4"/>
  <c r="N109" i="2"/>
  <c r="N198" i="4"/>
  <c r="N77" i="4"/>
  <c r="J22" i="4"/>
  <c r="N186" i="3"/>
  <c r="J10" i="2"/>
  <c r="N21" i="3"/>
  <c r="N33" i="4"/>
  <c r="J54" i="3"/>
  <c r="N88" i="2"/>
  <c r="N54" i="3"/>
  <c r="N186" i="4"/>
  <c r="N209" i="3"/>
  <c r="J153" i="3"/>
  <c r="J142" i="4"/>
  <c r="N142" i="4"/>
  <c r="N10" i="3"/>
  <c r="N77" i="2"/>
  <c r="N55" i="2"/>
  <c r="J65" i="4"/>
  <c r="N77" i="3"/>
  <c r="J33" i="4"/>
  <c r="J10" i="4"/>
  <c r="J209" i="4"/>
  <c r="J154" i="4"/>
  <c r="N121" i="2"/>
  <c r="J176" i="2"/>
  <c r="J99" i="2"/>
  <c r="N54" i="4"/>
  <c r="N176" i="2"/>
  <c r="J35" i="2"/>
  <c r="J34" i="2"/>
  <c r="J154" i="2"/>
  <c r="N230" i="3"/>
  <c r="J10" i="3"/>
  <c r="J77" i="2"/>
  <c r="N131" i="2"/>
  <c r="J186" i="3"/>
  <c r="J88" i="2"/>
  <c r="J77" i="3"/>
  <c r="N22" i="4"/>
  <c r="J197" i="3"/>
  <c r="N10" i="4"/>
  <c r="J22" i="2"/>
  <c r="J209" i="2"/>
  <c r="N88" i="4"/>
  <c r="J209" i="3"/>
  <c r="J165" i="3"/>
  <c r="J219" i="3"/>
  <c r="J54" i="4"/>
  <c r="J66" i="3"/>
  <c r="N219" i="3"/>
  <c r="N99" i="2"/>
  <c r="J33" i="2"/>
  <c r="N164" i="2"/>
  <c r="J197" i="2"/>
  <c r="N153" i="3"/>
  <c r="J142" i="2"/>
  <c r="J44" i="4"/>
  <c r="J110" i="3"/>
  <c r="J23" i="4"/>
  <c r="J24" i="4"/>
  <c r="N187" i="2"/>
  <c r="N22" i="2"/>
  <c r="N110" i="3"/>
  <c r="J23" i="2"/>
  <c r="J24" i="2"/>
  <c r="J186" i="4"/>
  <c r="N109" i="4"/>
  <c r="J21" i="3"/>
  <c r="N209" i="4"/>
  <c r="N165" i="3"/>
  <c r="J231" i="2"/>
  <c r="N66" i="3"/>
  <c r="J230" i="3"/>
  <c r="N98" i="3"/>
  <c r="J220" i="2"/>
  <c r="N154" i="2"/>
  <c r="N231" i="2"/>
  <c r="N164" i="4"/>
  <c r="N230" i="4"/>
  <c r="N142" i="3"/>
  <c r="J131" i="2"/>
  <c r="N98" i="4"/>
  <c r="N197" i="3"/>
  <c r="J187" i="2"/>
  <c r="J35" i="4"/>
  <c r="J34" i="4"/>
  <c r="J88" i="4"/>
  <c r="J65" i="2"/>
  <c r="N154" i="4"/>
  <c r="N209" i="2"/>
  <c r="J109" i="4"/>
  <c r="N65" i="2"/>
  <c r="J121" i="2"/>
  <c r="N220" i="2"/>
  <c r="N33" i="2"/>
  <c r="J164" i="4"/>
  <c r="L99" i="3"/>
  <c r="M143" i="4"/>
  <c r="M55" i="4"/>
  <c r="M220" i="3"/>
  <c r="L55" i="4"/>
  <c r="M110" i="2"/>
  <c r="L143" i="2"/>
  <c r="D66" i="4"/>
  <c r="H99" i="4"/>
  <c r="H22" i="3"/>
  <c r="L22" i="3"/>
  <c r="H11" i="3"/>
  <c r="L66" i="2"/>
  <c r="M66" i="2"/>
  <c r="H66" i="2"/>
  <c r="M231" i="4"/>
  <c r="L231" i="4"/>
  <c r="M231" i="3"/>
  <c r="L231" i="3"/>
  <c r="D11" i="2"/>
  <c r="H154" i="3"/>
  <c r="D154" i="3"/>
  <c r="D132" i="2"/>
  <c r="D187" i="4"/>
  <c r="L187" i="4"/>
  <c r="H99" i="3"/>
  <c r="L143" i="4"/>
  <c r="L220" i="3"/>
  <c r="H66" i="4"/>
  <c r="H165" i="4"/>
  <c r="D11" i="3"/>
  <c r="D99" i="4"/>
  <c r="L11" i="3"/>
  <c r="D22" i="3"/>
  <c r="M198" i="2"/>
  <c r="H11" i="2"/>
  <c r="H198" i="3"/>
  <c r="L165" i="2"/>
  <c r="M132" i="2"/>
  <c r="M99" i="3"/>
  <c r="D165" i="4"/>
  <c r="M66" i="4"/>
  <c r="L165" i="4"/>
  <c r="M22" i="3"/>
  <c r="P18" i="3" s="1"/>
  <c r="M11" i="3"/>
  <c r="P7" i="3" s="1"/>
  <c r="H143" i="3"/>
  <c r="D143" i="3"/>
  <c r="H11" i="4"/>
  <c r="D231" i="4"/>
  <c r="P227" i="4" s="1"/>
  <c r="L11" i="4"/>
  <c r="L198" i="2"/>
  <c r="L187" i="3"/>
  <c r="M198" i="3"/>
  <c r="L198" i="3"/>
  <c r="H110" i="4"/>
  <c r="D99" i="3"/>
  <c r="P95" i="3" s="1"/>
  <c r="H220" i="3"/>
  <c r="D55" i="4"/>
  <c r="P51" i="4" s="1"/>
  <c r="M165" i="4"/>
  <c r="P161" i="4" s="1"/>
  <c r="L66" i="4"/>
  <c r="P62" i="4" s="1"/>
  <c r="L110" i="2"/>
  <c r="D143" i="2"/>
  <c r="M143" i="2"/>
  <c r="P139" i="2" s="1"/>
  <c r="D110" i="2"/>
  <c r="P106" i="2" s="1"/>
  <c r="L143" i="3"/>
  <c r="L99" i="4"/>
  <c r="H231" i="4"/>
  <c r="D11" i="4"/>
  <c r="M11" i="4"/>
  <c r="P7" i="4" s="1"/>
  <c r="D121" i="4"/>
  <c r="L11" i="2"/>
  <c r="L121" i="4"/>
  <c r="H198" i="2"/>
  <c r="D231" i="3"/>
  <c r="P227" i="3" s="1"/>
  <c r="M154" i="3"/>
  <c r="L110" i="4"/>
  <c r="M187" i="3"/>
  <c r="D110" i="4"/>
  <c r="H132" i="2"/>
  <c r="H187" i="4"/>
  <c r="M55" i="3"/>
  <c r="H165" i="2"/>
  <c r="M187" i="4"/>
  <c r="P183" i="4" s="1"/>
  <c r="D165" i="2"/>
  <c r="H143" i="4"/>
  <c r="H55" i="4"/>
  <c r="D220" i="3"/>
  <c r="P216" i="3" s="1"/>
  <c r="H110" i="2"/>
  <c r="H143" i="2"/>
  <c r="M143" i="3"/>
  <c r="P139" i="3" s="1"/>
  <c r="M99" i="4"/>
  <c r="P95" i="4" s="1"/>
  <c r="D66" i="2"/>
  <c r="P62" i="2" s="1"/>
  <c r="M11" i="2"/>
  <c r="P7" i="2" s="1"/>
  <c r="M121" i="4"/>
  <c r="P117" i="4" s="1"/>
  <c r="H231" i="3"/>
  <c r="H121" i="4"/>
  <c r="D198" i="2"/>
  <c r="P194" i="2" s="1"/>
  <c r="M110" i="4"/>
  <c r="P106" i="4" s="1"/>
  <c r="D187" i="3"/>
  <c r="P183" i="3" s="1"/>
  <c r="L154" i="3"/>
  <c r="P150" i="3" s="1"/>
  <c r="H187" i="3"/>
  <c r="D198" i="3"/>
  <c r="P194" i="3" s="1"/>
  <c r="D55" i="3"/>
  <c r="M165" i="2"/>
  <c r="P161" i="2" s="1"/>
  <c r="L55" i="3"/>
  <c r="P51" i="3" s="1"/>
  <c r="L132" i="2"/>
  <c r="P128" i="2" s="1"/>
  <c r="H55" i="3"/>
  <c r="D143" i="4"/>
  <c r="P139" i="4" s="1"/>
  <c r="J55" i="3" l="1"/>
  <c r="N165" i="2"/>
  <c r="J187" i="3"/>
  <c r="N110" i="4"/>
  <c r="J121" i="4"/>
  <c r="J231" i="3"/>
  <c r="N121" i="4"/>
  <c r="N11" i="2"/>
  <c r="N99" i="4"/>
  <c r="N143" i="3"/>
  <c r="J143" i="2"/>
  <c r="J110" i="2"/>
  <c r="J55" i="4"/>
  <c r="J143" i="4"/>
  <c r="N187" i="4"/>
  <c r="J165" i="2"/>
  <c r="N55" i="3"/>
  <c r="J187" i="4"/>
  <c r="J132" i="2"/>
  <c r="N187" i="3"/>
  <c r="N154" i="3"/>
  <c r="J198" i="2"/>
  <c r="N11" i="4"/>
  <c r="J13" i="4"/>
  <c r="J12" i="4"/>
  <c r="J231" i="4"/>
  <c r="N143" i="2"/>
  <c r="N165" i="4"/>
  <c r="J220" i="3"/>
  <c r="J110" i="4"/>
  <c r="N198" i="3"/>
  <c r="J11" i="4"/>
  <c r="J143" i="3"/>
  <c r="N11" i="3"/>
  <c r="N22" i="3"/>
  <c r="N66" i="4"/>
  <c r="N99" i="3"/>
  <c r="N132" i="2"/>
  <c r="J198" i="3"/>
  <c r="J11" i="2"/>
  <c r="N198" i="2"/>
  <c r="J24" i="3"/>
  <c r="J23" i="3"/>
  <c r="J12" i="3"/>
  <c r="J13" i="3"/>
  <c r="J165" i="4"/>
  <c r="J66" i="4"/>
  <c r="J99" i="3"/>
  <c r="J154" i="3"/>
  <c r="J13" i="2"/>
  <c r="J12" i="2"/>
  <c r="N231" i="3"/>
  <c r="N231" i="4"/>
  <c r="J66" i="2"/>
  <c r="N66" i="2"/>
  <c r="J11" i="3"/>
  <c r="J22" i="3"/>
  <c r="J99" i="4"/>
  <c r="N110" i="2"/>
  <c r="N220" i="3"/>
  <c r="N55" i="4"/>
  <c r="N143" i="4"/>
</calcChain>
</file>

<file path=xl/sharedStrings.xml><?xml version="1.0" encoding="utf-8"?>
<sst xmlns="http://schemas.openxmlformats.org/spreadsheetml/2006/main" count="5994" uniqueCount="110">
  <si>
    <t>Anchor</t>
  </si>
  <si>
    <t>MPEG151-octree</t>
  </si>
  <si>
    <t>Proposal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</si>
  <si>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</si>
  <si>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</si>
  <si>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</si>
  <si>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</si>
  <si>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</si>
  <si>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</si>
  <si>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</si>
  <si>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</si>
  <si>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</si>
  <si>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</si>
  <si>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</si>
  <si>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</si>
  <si>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</si>
  <si>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</si>
  <si>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</si>
  <si>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</si>
  <si>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</si>
  <si>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</si>
  <si>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</si>
  <si>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</si>
  <si>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</si>
  <si>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</si>
  <si>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</si>
  <si>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</si>
  <si>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</si>
  <si>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</si>
  <si>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</si>
  <si>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</si>
  <si>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</si>
  <si>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</si>
  <si>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</si>
  <si>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</si>
  <si>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</si>
  <si>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</si>
  <si>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</si>
  <si>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</si>
  <si>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</si>
  <si>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</si>
  <si>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</si>
  <si>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>Rate</t>
  </si>
  <si>
    <t>Distortion</t>
  </si>
  <si>
    <t>BD-rate</t>
  </si>
  <si>
    <t>F</t>
  </si>
  <si>
    <t>AD</t>
  </si>
  <si>
    <t>Test</t>
  </si>
  <si>
    <t>Bitstream (MB)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</si>
  <si>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</si>
  <si>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</si>
  <si>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</si>
  <si>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</si>
  <si>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</si>
  <si>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</si>
  <si>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</si>
  <si>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</si>
  <si>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</si>
  <si>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</si>
  <si>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</si>
  <si>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</si>
  <si>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</si>
  <si>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</si>
  <si>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</si>
  <si>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</si>
  <si>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</si>
  <si>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</si>
  <si>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</si>
  <si>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</si>
  <si>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</si>
  <si>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</si>
  <si>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</si>
  <si>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</si>
  <si>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</si>
  <si>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</si>
  <si>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</si>
  <si>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</si>
  <si>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bytes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</si>
  <si>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</si>
  <si>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</si>
  <si>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</si>
  <si>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</si>
  <si>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</si>
  <si>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</si>
  <si>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</si>
  <si>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</si>
  <si>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</si>
  <si>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</si>
  <si>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</si>
  <si>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</si>
  <si>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</si>
  <si>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</si>
  <si>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</si>
  <si>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</si>
  <si>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</si>
  <si>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</si>
  <si>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</si>
  <si>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</si>
  <si>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</si>
  <si>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</si>
  <si>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</si>
  <si>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</si>
  <si>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</si>
  <si>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</si>
  <si>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</si>
  <si>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</si>
  <si>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</si>
  <si>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</si>
  <si>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</si>
  <si>
    <t>MPEG151-修改上下文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</si>
</sst>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11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/>
    <xf numFmtId="0" fontId="12" fillId="0" borderId="0" xfId="0" applyFont="1" applyAlignment="1">
      <alignment horizontal="center"/>
    </xf>
    <xf numFmtId="0" fontId="0" fillId="0" borderId="0" xfId="0"/>
    <xf numFmtId="0" fontId="12" fillId="0" borderId="5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4" fillId="3" borderId="0" xfId="0" applyFont="1" applyFill="1"/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MPEG151-octree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27.19622</c:v>
                </c:pt>
                <c:pt idx="1">
                  <c:v>30.453013333333342</c:v>
                </c:pt>
                <c:pt idx="2">
                  <c:v>34.500453333333333</c:v>
                </c:pt>
                <c:pt idx="3">
                  <c:v>36.634253333333326</c:v>
                </c:pt>
                <c:pt idx="4">
                  <c:v>37.30777333333333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B4-43E7-91F2-D19623F8A863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MPEG151-修改上下文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4.6105029999999996</c:v>
                </c:pt>
                <c:pt idx="1">
                  <c:v>6.6367449999999995</c:v>
                </c:pt>
                <c:pt idx="2">
                  <c:v>9.5779859999999992</c:v>
                </c:pt>
                <c:pt idx="3">
                  <c:v>13.509279999999999</c:v>
                </c:pt>
                <c:pt idx="4">
                  <c:v>17.322825999999999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27.196215120000002</c:v>
                </c:pt>
                <c:pt idx="1">
                  <c:v>30.45301422</c:v>
                </c:pt>
                <c:pt idx="2">
                  <c:v>34.500437269999999</c:v>
                </c:pt>
                <c:pt idx="3">
                  <c:v>36.63425565</c:v>
                </c:pt>
                <c:pt idx="4">
                  <c:v>37.307762869999998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B4-43E7-91F2-D19623F8A86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B4-43E7-91F2-D19623F8A86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B4-43E7-91F2-D19623F8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MPEG151-octree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41.196904166666663</c:v>
                </c:pt>
                <c:pt idx="1">
                  <c:v>43.715716666666658</c:v>
                </c:pt>
                <c:pt idx="2">
                  <c:v>44.558295833333339</c:v>
                </c:pt>
                <c:pt idx="3">
                  <c:v>45.872974999999997</c:v>
                </c:pt>
                <c:pt idx="4">
                  <c:v>46.50705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A4-4D55-8954-71F8F752AA19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MPEG151-修改上下文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0.35676799999999997</c:v>
                </c:pt>
                <c:pt idx="1">
                  <c:v>0.45018399999999997</c:v>
                </c:pt>
                <c:pt idx="2">
                  <c:v>0.57383299999999993</c:v>
                </c:pt>
                <c:pt idx="3">
                  <c:v>0.78998400000000002</c:v>
                </c:pt>
                <c:pt idx="4">
                  <c:v>1.0632079999999999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41.196904689999997</c:v>
                </c:pt>
                <c:pt idx="1">
                  <c:v>43.715718270000004</c:v>
                </c:pt>
                <c:pt idx="2">
                  <c:v>44.558309770000001</c:v>
                </c:pt>
                <c:pt idx="3">
                  <c:v>45.872975250000003</c:v>
                </c:pt>
                <c:pt idx="4">
                  <c:v>46.507054789999998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A4-4D55-8954-71F8F752AA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A4-4D55-8954-71F8F752AA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A4-4D55-8954-71F8F752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MPEG151-octree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A4-4713-A910-901A76FC1371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MPEG151-修改上下文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A4-4713-A910-901A76FC137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A4-4713-A910-901A76FC137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A4-4713-A910-901A76FC1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MPEG151-octree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5B-4DC3-B36C-E4E024BF2E21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MPEG151-修改上下文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5B-4DC3-B36C-E4E024BF2E2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5B-4DC3-B36C-E4E024BF2E2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5B-4DC3-B36C-E4E024BF2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MPEG151-octree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31-470C-A237-D53096391510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MPEG151-修改上下文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31-470C-A237-D5309639151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31-470C-A237-D5309639151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31-470C-A237-D53096391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MPEG151-octree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30.738500000000009</c:v>
                </c:pt>
                <c:pt idx="1">
                  <c:v>33.326747619047623</c:v>
                </c:pt>
                <c:pt idx="2">
                  <c:v>35.891647619047617</c:v>
                </c:pt>
                <c:pt idx="3">
                  <c:v>37.737238095238098</c:v>
                </c:pt>
                <c:pt idx="4">
                  <c:v>38.752842857142852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D0-4A5B-99A3-FB358730DB1A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MPEG151-修改上下文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4.7251889999999994</c:v>
                </c:pt>
                <c:pt idx="1">
                  <c:v>6.9918019999999999</c:v>
                </c:pt>
                <c:pt idx="2">
                  <c:v>10.469049999999999</c:v>
                </c:pt>
                <c:pt idx="3">
                  <c:v>15.067302</c:v>
                </c:pt>
                <c:pt idx="4">
                  <c:v>19.403116999999998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30.738489229999999</c:v>
                </c:pt>
                <c:pt idx="1">
                  <c:v>33.326761699999999</c:v>
                </c:pt>
                <c:pt idx="2">
                  <c:v>35.891653679999997</c:v>
                </c:pt>
                <c:pt idx="3">
                  <c:v>37.737239559999999</c:v>
                </c:pt>
                <c:pt idx="4">
                  <c:v>38.752838400000002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D0-4A5B-99A3-FB358730DB1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D0-4A5B-99A3-FB358730DB1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D0-4A5B-99A3-FB358730D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MPEG151-octree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C4-47E2-A4F7-089C352B5E1D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MPEG151-修改上下文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C4-47E2-A4F7-089C352B5E1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C4-47E2-A4F7-089C352B5E1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C4-47E2-A4F7-089C352B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MPEG151-octree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97-40F5-8B8E-27F856371EC6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MPEG151-修改上下文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97-40F5-8B8E-27F856371EC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97-40F5-8B8E-27F856371EC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97-40F5-8B8E-27F85637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MPEG151-octree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D-4F4E-A83F-593B146102F9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MPEG151-修改上下文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D-4F4E-A83F-593B146102F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2D-4F4E-A83F-593B146102F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2D-4F4E-A83F-593B14610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MPEG151-octree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C-4C5C-8993-706A62CF9CF3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MPEG151-修改上下文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3C-4C5C-8993-706A62CF9C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3C-4C5C-8993-706A62CF9C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3C-4C5C-8993-706A62CF9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MPEG151-octree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B-41C7-ACEA-E8259084C600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MPEG151-修改上下文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B-41C7-ACEA-E8259084C60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EB-41C7-ACEA-E8259084C60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EB-41C7-ACEA-E8259084C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MPEG151-octree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6A-4351-B6D7-C87FDE7FA09C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MPEG151-修改上下文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6A-4351-B6D7-C87FDE7FA09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6A-4351-B6D7-C87FDE7FA09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6A-4351-B6D7-C87FDE7FA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MPEG151-octree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56-433F-A49D-9B33A2003EBD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MPEG151-修改上下文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56-433F-A49D-9B33A2003EB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56-433F-A49D-9B33A2003EB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56-433F-A49D-9B33A200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MPEG151-octree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4-4806-BB1F-34A310AD19DE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MPEG151-修改上下文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64-4806-BB1F-34A310AD19D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64-4806-BB1F-34A310AD19D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4-4806-BB1F-34A310AD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MPEG151-octree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0E-4AAE-93D7-DF3D4540D6E1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MPEG151-修改上下文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0E-4AAE-93D7-DF3D4540D6E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0E-4AAE-93D7-DF3D4540D6E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0E-4AAE-93D7-DF3D4540D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MPEG151-octree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1-488C-9710-CF9CDAD8389F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MPEG151-修改上下文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1-488C-9710-CF9CDAD8389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1-488C-9710-CF9CDAD8389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81-488C-9710-CF9CDAD8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MPEG151-octree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9-4E55-B7C7-6312FD0D08C2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MPEG151-修改上下文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9-4E55-B7C7-6312FD0D08C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9-4E55-B7C7-6312FD0D08C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E9-4E55-B7C7-6312FD0D0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MPEG151-octree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17-425D-B420-3311A90F4D09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MPEG151-修改上下文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17-425D-B420-3311A90F4D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17-425D-B420-3311A90F4D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17-425D-B420-3311A90F4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MPEG151-octree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1-4F81-A23F-E737E560A0FA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MPEG151-修改上下文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D1-4F81-A23F-E737E560A0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1-4F81-A23F-E737E560A0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D1-4F81-A23F-E737E560A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MPEG151-octree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C6-4CAE-AB04-F5FEBFAE2D0F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MPEG151-修改上下文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C6-4CAE-AB04-F5FEBFAE2D0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C6-4CAE-AB04-F5FEBFAE2D0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C6-4CAE-AB04-F5FEBFAE2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MPEG151-octree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29.842019047619051</c:v>
                </c:pt>
                <c:pt idx="1">
                  <c:v>32.659209523809523</c:v>
                </c:pt>
                <c:pt idx="2">
                  <c:v>35.404100000000007</c:v>
                </c:pt>
                <c:pt idx="3">
                  <c:v>37.646438095238103</c:v>
                </c:pt>
                <c:pt idx="4">
                  <c:v>38.519909523809531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C1-48E2-9B29-6B086A43BF0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MPEG151-修改上下文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3.4174319999999998</c:v>
                </c:pt>
                <c:pt idx="1">
                  <c:v>4.9517439999999997</c:v>
                </c:pt>
                <c:pt idx="2">
                  <c:v>7.4292679999999995</c:v>
                </c:pt>
                <c:pt idx="3">
                  <c:v>10.793676</c:v>
                </c:pt>
                <c:pt idx="4">
                  <c:v>13.981442999999999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29.84202256</c:v>
                </c:pt>
                <c:pt idx="1">
                  <c:v>32.659213770000001</c:v>
                </c:pt>
                <c:pt idx="2">
                  <c:v>35.404095179999999</c:v>
                </c:pt>
                <c:pt idx="3">
                  <c:v>37.646431530000001</c:v>
                </c:pt>
                <c:pt idx="4">
                  <c:v>38.519917839999998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8E2-9B29-6B086A43BF0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C1-48E2-9B29-6B086A43BF0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C1-48E2-9B29-6B086A43B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MPEG151-octree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28.954166666666669</c:v>
                </c:pt>
                <c:pt idx="1">
                  <c:v>32.824559999999998</c:v>
                </c:pt>
                <c:pt idx="2">
                  <c:v>38.282213333333331</c:v>
                </c:pt>
                <c:pt idx="3">
                  <c:v>41.441673333333327</c:v>
                </c:pt>
                <c:pt idx="4">
                  <c:v>42.221853333333343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D-4870-A8E7-D4EF3760841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MPEG151-修改上下文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4.6105029999999996</c:v>
                </c:pt>
                <c:pt idx="1">
                  <c:v>6.6367449999999995</c:v>
                </c:pt>
                <c:pt idx="2">
                  <c:v>9.5779859999999992</c:v>
                </c:pt>
                <c:pt idx="3">
                  <c:v>13.509279999999999</c:v>
                </c:pt>
                <c:pt idx="4">
                  <c:v>17.322825999999999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28.954166529999998</c:v>
                </c:pt>
                <c:pt idx="1">
                  <c:v>32.824565020000001</c:v>
                </c:pt>
                <c:pt idx="2">
                  <c:v>38.282210599999999</c:v>
                </c:pt>
                <c:pt idx="3">
                  <c:v>41.441682839999999</c:v>
                </c:pt>
                <c:pt idx="4">
                  <c:v>42.221851389999998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D-4870-A8E7-D4EF3760841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D-4870-A8E7-D4EF3760841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0D-4870-A8E7-D4EF37608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MPEG151-octree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44.741458333333327</c:v>
                </c:pt>
                <c:pt idx="1">
                  <c:v>47.560316666666672</c:v>
                </c:pt>
                <c:pt idx="2">
                  <c:v>48.921995833333327</c:v>
                </c:pt>
                <c:pt idx="3">
                  <c:v>50.602104166666663</c:v>
                </c:pt>
                <c:pt idx="4">
                  <c:v>51.444966666666687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8D-4F9D-B863-1740118476A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MPEG151-修改上下文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0.35676799999999997</c:v>
                </c:pt>
                <c:pt idx="1">
                  <c:v>0.45018399999999997</c:v>
                </c:pt>
                <c:pt idx="2">
                  <c:v>0.57383299999999993</c:v>
                </c:pt>
                <c:pt idx="3">
                  <c:v>0.78998400000000002</c:v>
                </c:pt>
                <c:pt idx="4">
                  <c:v>1.0632079999999999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44.741451920000003</c:v>
                </c:pt>
                <c:pt idx="1">
                  <c:v>47.5603093</c:v>
                </c:pt>
                <c:pt idx="2">
                  <c:v>48.921989179999997</c:v>
                </c:pt>
                <c:pt idx="3">
                  <c:v>50.602116420000002</c:v>
                </c:pt>
                <c:pt idx="4">
                  <c:v>51.444959570000002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8D-4F9D-B863-1740118476A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8D-4F9D-B863-1740118476A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8D-4F9D-B863-174011847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MPEG151-octree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51-4A36-8561-7D0E17F07CEF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MPEG151-修改上下文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51-4A36-8561-7D0E17F07CE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51-4A36-8561-7D0E17F07CE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51-4A36-8561-7D0E17F07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MPEG151-octree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57-4DD2-B4B4-BE5005DBBA7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MPEG151-修改上下文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57-4DD2-B4B4-BE5005DBBA7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57-4DD2-B4B4-BE5005DBBA7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57-4DD2-B4B4-BE5005DBB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MPEG151-octree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32.44619999999999</c:v>
                </c:pt>
                <c:pt idx="1">
                  <c:v>36.293133333333337</c:v>
                </c:pt>
                <c:pt idx="2">
                  <c:v>40.74299523809524</c:v>
                </c:pt>
                <c:pt idx="3">
                  <c:v>43.845704761904763</c:v>
                </c:pt>
                <c:pt idx="4">
                  <c:v>45.015971428571433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98-4A69-9D35-9EB78B4743C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MPEG151-修改上下文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4.7251889999999994</c:v>
                </c:pt>
                <c:pt idx="1">
                  <c:v>6.9918019999999999</c:v>
                </c:pt>
                <c:pt idx="2">
                  <c:v>10.469049999999999</c:v>
                </c:pt>
                <c:pt idx="3">
                  <c:v>15.067302</c:v>
                </c:pt>
                <c:pt idx="4">
                  <c:v>19.403116999999998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32.446208179999999</c:v>
                </c:pt>
                <c:pt idx="1">
                  <c:v>36.293138929999998</c:v>
                </c:pt>
                <c:pt idx="2">
                  <c:v>40.742995610000001</c:v>
                </c:pt>
                <c:pt idx="3">
                  <c:v>43.84570222</c:v>
                </c:pt>
                <c:pt idx="4">
                  <c:v>45.015964480000001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98-4A69-9D35-9EB78B4743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98-4A69-9D35-9EB78B4743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98-4A69-9D35-9EB78B474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MPEG151-octree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03-47CA-84AB-C8B7CEE9933A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MPEG151-修改上下文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03-47CA-84AB-C8B7CEE9933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03-47CA-84AB-C8B7CEE9933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03-47CA-84AB-C8B7CEE9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MPEG151-octree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6E-42AB-B243-2343FD392D18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MPEG151-修改上下文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6E-42AB-B243-2343FD392D1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6E-42AB-B243-2343FD392D1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6E-42AB-B243-2343FD392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MPEG151-octree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62-4876-A146-7E9F30C57052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MPEG151-修改上下文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62-4876-A146-7E9F30C570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62-4876-A146-7E9F30C570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62-4876-A146-7E9F30C5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MPEG151-octree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3-4614-8206-277BFD4A9F70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MPEG151-修改上下文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93-4614-8206-277BFD4A9F7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93-4614-8206-277BFD4A9F7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93-4614-8206-277BFD4A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MPEG151-octree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8F-4FE5-8030-431B8DA78C5A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MPEG151-修改上下文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8F-4FE5-8030-431B8DA78C5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8F-4FE5-8030-431B8DA78C5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8F-4FE5-8030-431B8DA78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MPEG151-octree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A-4306-8325-527FF0B38B4C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MPEG151-修改上下文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CA-4306-8325-527FF0B38B4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CA-4306-8325-527FF0B38B4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CA-4306-8325-527FF0B38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MPEG151-octree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C-4C5C-82CF-EBAA7D316E0C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MPEG151-修改上下文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CC-4C5C-82CF-EBAA7D316E0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CC-4C5C-82CF-EBAA7D316E0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CC-4C5C-82CF-EBAA7D316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MPEG151-octree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C-4B40-A302-1BA0C52574A8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MPEG151-修改上下文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C-4B40-A302-1BA0C52574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0C-4B40-A302-1BA0C52574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0C-4B40-A302-1BA0C5257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MPEG151-octree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E4-4991-BFD0-1BE9D7302CA7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MPEG151-修改上下文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E4-4991-BFD0-1BE9D7302CA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E4-4991-BFD0-1BE9D7302CA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E4-4991-BFD0-1BE9D7302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MPEG151-octree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85-4B32-A612-3AFDF6DF2B81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MPEG151-修改上下文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85-4B32-A612-3AFDF6DF2B8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85-4B32-A612-3AFDF6DF2B8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85-4B32-A612-3AFDF6DF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MPEG151-octree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2-4788-B8F5-5CD6D8B575D1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MPEG151-修改上下文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2-4788-B8F5-5CD6D8B575D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2-4788-B8F5-5CD6D8B575D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E2-4788-B8F5-5CD6D8B57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MPEG151-octree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9-4458-8186-F500CF188560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MPEG151-修改上下文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89-4458-8186-F500CF1885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89-4458-8186-F500CF1885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89-4458-8186-F500CF188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MPEG151-octree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31.65254761904762</c:v>
                </c:pt>
                <c:pt idx="1">
                  <c:v>35.305909523809518</c:v>
                </c:pt>
                <c:pt idx="2">
                  <c:v>39.796204761904761</c:v>
                </c:pt>
                <c:pt idx="3">
                  <c:v>43.268876190476192</c:v>
                </c:pt>
                <c:pt idx="4">
                  <c:v>44.310923809523807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A-4055-B80A-CB3BB7F9CB64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MPEG151-修改上下文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3.4174319999999998</c:v>
                </c:pt>
                <c:pt idx="1">
                  <c:v>4.9517439999999997</c:v>
                </c:pt>
                <c:pt idx="2">
                  <c:v>7.4292679999999995</c:v>
                </c:pt>
                <c:pt idx="3">
                  <c:v>10.793676</c:v>
                </c:pt>
                <c:pt idx="4">
                  <c:v>13.981442999999999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31.65254448</c:v>
                </c:pt>
                <c:pt idx="1">
                  <c:v>35.30590557</c:v>
                </c:pt>
                <c:pt idx="2">
                  <c:v>39.796196100000003</c:v>
                </c:pt>
                <c:pt idx="3">
                  <c:v>43.268869199999997</c:v>
                </c:pt>
                <c:pt idx="4">
                  <c:v>44.310927599999999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A-4055-B80A-CB3BB7F9CB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A-4055-B80A-CB3BB7F9CB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6A-4055-B80A-CB3BB7F9C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MPEG151-octree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56-4A07-BFD8-5976A8A3FA1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MPEG151-修改上下文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56-4A07-BFD8-5976A8A3FA1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56-4A07-BFD8-5976A8A3FA1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E56-4A07-BFD8-5976A8A3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MPEG151-octree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C7-49CC-B1B2-18B784AAD30B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MPEG151-修改上下文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C7-49CC-B1B2-18B784AAD3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C7-49CC-B1B2-18B784AAD3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C7-49CC-B1B2-18B784AAD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MPEG151-octree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58-4D5F-8B70-68CA0045D28D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MPEG151-修改上下文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58-4D5F-8B70-68CA0045D28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58-4D5F-8B70-68CA0045D28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58-4D5F-8B70-68CA0045D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MPEG151-octree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0.94577999999999995</c:v>
                </c:pt>
                <c:pt idx="1">
                  <c:v>0.97032666666666667</c:v>
                </c:pt>
                <c:pt idx="2">
                  <c:v>0.98659333333333343</c:v>
                </c:pt>
                <c:pt idx="3">
                  <c:v>0.99273333333333336</c:v>
                </c:pt>
                <c:pt idx="4">
                  <c:v>0.99438000000000004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42-4AEC-A567-1391DE7A7F1D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MPEG151-修改上下文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4.6105029999999996</c:v>
                </c:pt>
                <c:pt idx="1">
                  <c:v>6.6367449999999995</c:v>
                </c:pt>
                <c:pt idx="2">
                  <c:v>9.5779859999999992</c:v>
                </c:pt>
                <c:pt idx="3">
                  <c:v>13.509279999999999</c:v>
                </c:pt>
                <c:pt idx="4">
                  <c:v>17.322825999999999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0.94577754000000003</c:v>
                </c:pt>
                <c:pt idx="1">
                  <c:v>0.97032218999999997</c:v>
                </c:pt>
                <c:pt idx="2">
                  <c:v>0.98658572</c:v>
                </c:pt>
                <c:pt idx="3">
                  <c:v>0.99273785999999997</c:v>
                </c:pt>
                <c:pt idx="4">
                  <c:v>0.99438722999999996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42-4AEC-A567-1391DE7A7F1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42-4AEC-A567-1391DE7A7F1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42-4AEC-A567-1391DE7A7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MPEG151-octree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0.96479047619047598</c:v>
                </c:pt>
                <c:pt idx="1">
                  <c:v>0.98080476190476196</c:v>
                </c:pt>
                <c:pt idx="2">
                  <c:v>0.99094761904761897</c:v>
                </c:pt>
                <c:pt idx="3">
                  <c:v>0.99534285714285731</c:v>
                </c:pt>
                <c:pt idx="4">
                  <c:v>0.99637619047619064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57-4AD7-B8E1-842207A1CA44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MPEG151-修改上下文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3.4174319999999998</c:v>
                </c:pt>
                <c:pt idx="1">
                  <c:v>4.9517439999999997</c:v>
                </c:pt>
                <c:pt idx="2">
                  <c:v>7.4292679999999995</c:v>
                </c:pt>
                <c:pt idx="3">
                  <c:v>10.793676</c:v>
                </c:pt>
                <c:pt idx="4">
                  <c:v>13.981442999999999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0.96479165</c:v>
                </c:pt>
                <c:pt idx="1">
                  <c:v>0.98081039999999997</c:v>
                </c:pt>
                <c:pt idx="2">
                  <c:v>0.99094115999999999</c:v>
                </c:pt>
                <c:pt idx="3">
                  <c:v>0.99532989999999999</c:v>
                </c:pt>
                <c:pt idx="4">
                  <c:v>0.99637193000000002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57-4AD7-B8E1-842207A1CA4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3.4174319999999998</c:v>
                </c:pt>
                <c:pt idx="1">
                  <c:v>13.983369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57-4AD7-B8E1-842207A1CA4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3.4174319999999998</c:v>
                </c:pt>
                <c:pt idx="1">
                  <c:v>13.983369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57-4AD7-B8E1-842207A1C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MPEG151-octree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0.99697083333333325</c:v>
                </c:pt>
                <c:pt idx="1">
                  <c:v>0.9982625000000005</c:v>
                </c:pt>
                <c:pt idx="2">
                  <c:v>0.99859999999999982</c:v>
                </c:pt>
                <c:pt idx="3">
                  <c:v>0.99888333333333279</c:v>
                </c:pt>
                <c:pt idx="4">
                  <c:v>0.99902083333333314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1D-40D0-9ECB-AD1CC2DD942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MPEG151-修改上下文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0.35676799999999997</c:v>
                </c:pt>
                <c:pt idx="1">
                  <c:v>0.45018399999999997</c:v>
                </c:pt>
                <c:pt idx="2">
                  <c:v>0.57383299999999993</c:v>
                </c:pt>
                <c:pt idx="3">
                  <c:v>0.78998400000000002</c:v>
                </c:pt>
                <c:pt idx="4">
                  <c:v>1.0632079999999999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0.99697460999999998</c:v>
                </c:pt>
                <c:pt idx="1">
                  <c:v>0.99827292000000001</c:v>
                </c:pt>
                <c:pt idx="2">
                  <c:v>0.99861007000000002</c:v>
                </c:pt>
                <c:pt idx="3">
                  <c:v>0.99889271999999996</c:v>
                </c:pt>
                <c:pt idx="4">
                  <c:v>0.99901786999999997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1D-40D0-9ECB-AD1CC2DD942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1D-40D0-9ECB-AD1CC2DD942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0.35676799999999997</c:v>
                </c:pt>
                <c:pt idx="1">
                  <c:v>1.0632569999999999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1D-40D0-9ECB-AD1CC2DD9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MPEG151-octree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7A-4373-9870-B5163FD2D9F1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MPEG151-修改上下文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7A-4373-9870-B5163FD2D9F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7A-4373-9870-B5163FD2D9F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7A-4373-9870-B5163FD2D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MPEG151-octree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DA-4789-9935-DB36A26D5923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MPEG151-修改上下文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DA-4789-9935-DB36A26D59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DA-4789-9935-DB36A26D59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DA-4789-9935-DB36A26D5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MPEG151-octree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7D-4E11-978B-3E2EF2444D41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MPEG151-修改上下文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7D-4E11-978B-3E2EF2444D4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7D-4E11-978B-3E2EF2444D4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7D-4E11-978B-3E2EF244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MPEG151-octree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0.95844761904761933</c:v>
                </c:pt>
                <c:pt idx="1">
                  <c:v>0.97736666666666649</c:v>
                </c:pt>
                <c:pt idx="2">
                  <c:v>0.99001904761904758</c:v>
                </c:pt>
                <c:pt idx="3">
                  <c:v>0.99490000000000023</c:v>
                </c:pt>
                <c:pt idx="4">
                  <c:v>0.99611904761904757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2-47BD-8A77-9DA9AEBE2674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MPEG151-修改上下文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4.7251889999999994</c:v>
                </c:pt>
                <c:pt idx="1">
                  <c:v>6.9918019999999999</c:v>
                </c:pt>
                <c:pt idx="2">
                  <c:v>10.469049999999999</c:v>
                </c:pt>
                <c:pt idx="3">
                  <c:v>15.067302</c:v>
                </c:pt>
                <c:pt idx="4">
                  <c:v>19.403116999999998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0.95844887999999995</c:v>
                </c:pt>
                <c:pt idx="1">
                  <c:v>0.97736822000000001</c:v>
                </c:pt>
                <c:pt idx="2">
                  <c:v>0.99001956000000002</c:v>
                </c:pt>
                <c:pt idx="3">
                  <c:v>0.99491110000000005</c:v>
                </c:pt>
                <c:pt idx="4">
                  <c:v>0.99612946999999996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2-47BD-8A77-9DA9AEBE267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F2-47BD-8A77-9DA9AEBE267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4.6105029999999996</c:v>
                </c:pt>
                <c:pt idx="1">
                  <c:v>17.324469999999998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EF2-47BD-8A77-9DA9AEBE2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MPEG151-octree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76-4327-A0CC-F9E3A5D47D97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MPEG151-修改上下文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76-4327-A0CC-F9E3A5D47D9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76-4327-A0CC-F9E3A5D47D9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76-4327-A0CC-F9E3A5D47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MPEG151-octree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4C8E-B91F-B95E56C50619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MPEG151-修改上下文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A-4C8E-B91F-B95E56C506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CA-4C8E-B91F-B95E56C506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CA-4C8E-B91F-B95E56C50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MPEG151-octree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CC-4019-81A0-6AF43E7BD116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MPEG151-修改上下文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CC-4019-81A0-6AF43E7BD11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CC-4019-81A0-6AF43E7BD11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CC-4019-81A0-6AF43E7BD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MPEG151-octree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F-497C-ABC3-DC2E62A0FF81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MPEG151-修改上下文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F-497C-ABC3-DC2E62A0FF8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F-497C-ABC3-DC2E62A0FF8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F-497C-ABC3-DC2E62A0F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MPEG151-octree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83-4420-9785-C3FA69EE49F9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MPEG151-修改上下文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83-4420-9785-C3FA69EE49F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83-4420-9785-C3FA69EE49F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83-4420-9785-C3FA69EE4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MPEG151-octree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B-448E-91A5-D989B05945A4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MPEG151-修改上下文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2B-448E-91A5-D989B05945A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2B-448E-91A5-D989B05945A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2B-448E-91A5-D989B0594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MPEG151-octree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9-4A05-86D3-62D96350B55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MPEG151-修改上下文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9-4A05-86D3-62D96350B55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F9-4A05-86D3-62D96350B55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F9-4A05-86D3-62D96350B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MPEG151-octree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D0-4569-850E-26183CF8F531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MPEG151-修改上下文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D0-4569-850E-26183CF8F53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D0-4569-850E-26183CF8F53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D0-4569-850E-26183CF8F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MPEG151-octree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31-495E-8DD8-C96A8561C4AD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MPEG151-修改上下文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31-495E-8DD8-C96A8561C4A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31-495E-8DD8-C96A8561C4A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31-495E-8DD8-C96A8561C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MPEG151-octree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E7-4A05-852C-6249F89E9865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MPEG151-修改上下文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E7-4A05-852C-6249F89E986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E7-4A05-852C-6249F89E986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E7-4A05-852C-6249F89E9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MPEG151-octree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8-491F-A355-2D376FAD7F2D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MPEG151-修改上下文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C8-491F-A355-2D376FAD7F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C8-491F-A355-2D376FAD7F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C8-491F-A355-2D376FAD7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MPEG151-octree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BA-46F3-915B-5609980550F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MPEG151-修改上下文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BA-46F3-915B-5609980550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BA-46F3-915B-5609980550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BA-46F3-915B-56099805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MPEG151-octree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2-44F1-88A2-7C42FBD529CE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MPEG151-修改上下文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72-44F1-88A2-7C42FBD529C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72-44F1-88A2-7C42FBD529C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72-44F1-88A2-7C42FBD52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MPEG151-octree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5-4619-86D6-9B3D7B06FA69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MPEG151-修改上下文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95-4619-86D6-9B3D7B06FA6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95-4619-86D6-9B3D7B06FA6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95-4619-86D6-9B3D7B06F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E6" sqref="E6"/>
    </sheetView>
  </sheetViews>
  <sheetFormatPr defaultColWidth="8.69921875" defaultRowHeight="14.4" x14ac:dyDescent="0.25"/>
  <cols>
    <col min="1" max="1" width="1.69921875" style="200" bestFit="1" customWidth="1"/>
    <col min="2" max="2" width="22.09765625" style="200" customWidth="1"/>
    <col min="3" max="3" width="12.3984375" style="200" customWidth="1"/>
    <col min="4" max="5" width="9.69921875" style="200" bestFit="1" customWidth="1"/>
    <col min="6" max="14" width="9.796875" style="200" customWidth="1"/>
    <col min="15" max="15" width="7.09765625" style="200" customWidth="1"/>
    <col min="16" max="16" width="7.19921875" style="200" customWidth="1"/>
    <col min="17" max="18" width="8.69921875" style="200" customWidth="1"/>
    <col min="19" max="16384" width="8.69921875" style="200"/>
  </cols>
  <sheetData>
    <row r="1" spans="1:16" x14ac:dyDescent="0.25">
      <c r="A1" s="169"/>
      <c r="B1" s="196"/>
      <c r="C1" s="196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</row>
    <row r="2" spans="1:16" x14ac:dyDescent="0.25">
      <c r="A2" s="196"/>
      <c r="B2" s="4"/>
      <c r="C2" s="197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</row>
    <row r="3" spans="1:16" x14ac:dyDescent="0.25">
      <c r="A3" s="196"/>
      <c r="B3" s="4" t="s">
        <v>0</v>
      </c>
      <c r="C3" s="254" t="s">
        <v>1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96"/>
    </row>
    <row r="4" spans="1:16" x14ac:dyDescent="0.25">
      <c r="A4" s="196"/>
      <c r="B4" s="4" t="s">
        <v>2</v>
      </c>
      <c r="C4" s="254" t="s">
        <v>109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96"/>
    </row>
    <row r="5" spans="1:16" x14ac:dyDescent="0.25">
      <c r="A5" s="196"/>
      <c r="B5" s="182" t="s">
        <v>3</v>
      </c>
      <c r="C5" s="197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96"/>
    </row>
    <row r="6" spans="1:16" x14ac:dyDescent="0.25">
      <c r="A6" s="196"/>
      <c r="B6" s="183" t="s">
        <v>4</v>
      </c>
      <c r="C6" s="184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</row>
    <row r="7" spans="1:16" s="13" customFormat="1" ht="16.5" customHeight="1" thickBot="1" x14ac:dyDescent="0.3">
      <c r="A7" s="142"/>
      <c r="B7" s="252" t="s">
        <v>5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42"/>
    </row>
    <row r="8" spans="1:16" ht="30" customHeight="1" thickBot="1" x14ac:dyDescent="0.3">
      <c r="A8" s="196"/>
      <c r="B8" s="14" t="s">
        <v>6</v>
      </c>
      <c r="C8" s="15" t="s">
        <v>7</v>
      </c>
      <c r="D8" s="15" t="s">
        <v>8</v>
      </c>
      <c r="E8" s="15" t="s">
        <v>9</v>
      </c>
      <c r="F8" s="15" t="s">
        <v>10</v>
      </c>
      <c r="G8" s="15" t="s">
        <v>11</v>
      </c>
      <c r="H8" s="15" t="s">
        <v>12</v>
      </c>
      <c r="I8" s="15" t="s">
        <v>13</v>
      </c>
      <c r="J8" s="15" t="s">
        <v>14</v>
      </c>
      <c r="K8" s="15" t="s">
        <v>15</v>
      </c>
      <c r="L8" s="15" t="s">
        <v>16</v>
      </c>
      <c r="M8" s="15" t="s">
        <v>17</v>
      </c>
      <c r="N8" s="15" t="s">
        <v>18</v>
      </c>
      <c r="O8" s="173"/>
      <c r="P8" s="196"/>
    </row>
    <row r="9" spans="1:16" ht="15.75" customHeight="1" x14ac:dyDescent="0.25">
      <c r="A9" s="196"/>
      <c r="B9" s="180" t="s">
        <v>19</v>
      </c>
      <c r="C9" s="210">
        <f ca="1">INDIRECT($B9&amp;"!AY$5")</f>
        <v>-3.3899919967395054E-4</v>
      </c>
      <c r="D9" s="210">
        <f ca="1">INDIRECT($B9&amp;"!AZ$5")</f>
        <v>-3.3909660687636567E-4</v>
      </c>
      <c r="E9" s="210">
        <f ca="1">INDIRECT($B9&amp;"!BA$5")</f>
        <v>-5.5196712619287602E-4</v>
      </c>
      <c r="F9" s="210">
        <f ca="1">INDIRECT($B9&amp;"!AX$21")</f>
        <v>1.5954479057969191</v>
      </c>
      <c r="G9" s="210">
        <f ca="1">INDIRECT($B9&amp;"!AY$21")</f>
        <v>1.3045806965061248</v>
      </c>
      <c r="H9" s="210">
        <f ca="1">INDIRECT($B9&amp;"!AZ$21")</f>
        <v>1.8023066761038962</v>
      </c>
      <c r="I9" s="210">
        <f ca="1">INDIRECT($B9&amp;"!BA$21")</f>
        <v>1.9705012251724305</v>
      </c>
      <c r="J9" s="210">
        <f ca="1">INDIRECT($B9&amp;"!BB$21")</f>
        <v>0.57266016267246855</v>
      </c>
      <c r="K9" s="210">
        <f ca="1">INDIRECT($B9&amp;"!BC$21")</f>
        <v>1.2258146292305931</v>
      </c>
      <c r="L9" s="210">
        <f ca="1">INDIRECT($B9&amp;"!BD$21")</f>
        <v>1.7760802789871628</v>
      </c>
      <c r="M9" s="210">
        <f ca="1">INDIRECT($B9&amp;"!BE$21")</f>
        <v>0.99743843659547315</v>
      </c>
      <c r="N9" s="210" t="e">
        <f ca="1">INDIRECT($B9&amp;"!BC$5")</f>
        <v>#VALUE!</v>
      </c>
      <c r="O9" s="211"/>
      <c r="P9" s="196"/>
    </row>
    <row r="10" spans="1:16" ht="15.75" customHeight="1" x14ac:dyDescent="0.25">
      <c r="A10" s="196"/>
      <c r="B10" s="180" t="s">
        <v>20</v>
      </c>
      <c r="C10" s="210">
        <f ca="1">INDIRECT($B10&amp;"!AY$5")</f>
        <v>-2.1743374250793313E-4</v>
      </c>
      <c r="D10" s="210">
        <f ca="1">INDIRECT($B10&amp;"!AZ$5")</f>
        <v>-2.1440964132479756E-4</v>
      </c>
      <c r="E10" s="210">
        <f ca="1">INDIRECT($B10&amp;"!BA$5")</f>
        <v>-1.8682173546358261E-4</v>
      </c>
      <c r="F10" s="210">
        <f ca="1">INDIRECT($B10&amp;"!AX$21")</f>
        <v>1.5903225074221581</v>
      </c>
      <c r="G10" s="210">
        <f ca="1">INDIRECT($B10&amp;"!AY$21")</f>
        <v>1.3240599683398404</v>
      </c>
      <c r="H10" s="210">
        <f ca="1">INDIRECT($B10&amp;"!AZ$21")</f>
        <v>1.786453463740326</v>
      </c>
      <c r="I10" s="210">
        <f ca="1">INDIRECT($B10&amp;"!BA$21")</f>
        <v>1.9549218827303811</v>
      </c>
      <c r="J10" s="210">
        <f ca="1">INDIRECT($B10&amp;"!BB$21")</f>
        <v>0.65194077758542845</v>
      </c>
      <c r="K10" s="210">
        <f ca="1">INDIRECT($B10&amp;"!BC$21")</f>
        <v>1.2483571906373863</v>
      </c>
      <c r="L10" s="210">
        <f ca="1">INDIRECT($B10&amp;"!BD$21")</f>
        <v>1.7848641517706949</v>
      </c>
      <c r="M10" s="210">
        <f ca="1">INDIRECT($B10&amp;"!BE$21")</f>
        <v>0.99819423914368244</v>
      </c>
      <c r="N10" s="210" t="e">
        <f ca="1">INDIRECT($B10&amp;"!BC$5")</f>
        <v>#VALUE!</v>
      </c>
      <c r="O10" s="211"/>
      <c r="P10" s="196"/>
    </row>
    <row r="11" spans="1:16" ht="15.75" customHeight="1" thickBot="1" x14ac:dyDescent="0.3">
      <c r="A11" s="196"/>
      <c r="B11" s="180" t="s">
        <v>21</v>
      </c>
      <c r="C11" s="210">
        <f ca="1">INDIRECT($B11&amp;"!AY$5")</f>
        <v>-3.2738559772271802E-4</v>
      </c>
      <c r="D11" s="210">
        <f ca="1">INDIRECT($B11&amp;"!AZ$5")</f>
        <v>-3.2209031653762654E-4</v>
      </c>
      <c r="E11" s="210">
        <f ca="1">INDIRECT($B11&amp;"!BA$5")</f>
        <v>-2.4574441204794351E-4</v>
      </c>
      <c r="F11" s="210">
        <f ca="1">INDIRECT($B11&amp;"!AX$21")</f>
        <v>1.5899762231634496</v>
      </c>
      <c r="G11" s="210">
        <f ca="1">INDIRECT($B11&amp;"!AY$21")</f>
        <v>1.3097957335807238</v>
      </c>
      <c r="H11" s="210">
        <f ca="1">INDIRECT($B11&amp;"!AZ$21")</f>
        <v>1.7947884592877026</v>
      </c>
      <c r="I11" s="210">
        <f ca="1">INDIRECT($B11&amp;"!BA$21")</f>
        <v>1.9443346765391456</v>
      </c>
      <c r="J11" s="210">
        <f ca="1">INDIRECT($B11&amp;"!BB$21")</f>
        <v>0.589355784996482</v>
      </c>
      <c r="K11" s="210">
        <f ca="1">INDIRECT($B11&amp;"!BC$21")</f>
        <v>1.2332251755222765</v>
      </c>
      <c r="L11" s="210">
        <f ca="1">INDIRECT($B11&amp;"!BD$21")</f>
        <v>1.806286824484248</v>
      </c>
      <c r="M11" s="210">
        <f ca="1">INDIRECT($B11&amp;"!BE$21")</f>
        <v>0.99583300446343748</v>
      </c>
      <c r="N11" s="210" t="e">
        <f ca="1">INDIRECT($B11&amp;"!BC$5")</f>
        <v>#VALUE!</v>
      </c>
      <c r="O11" s="211"/>
      <c r="P11" s="196"/>
    </row>
    <row r="12" spans="1:16" ht="15.75" customHeight="1" thickBot="1" x14ac:dyDescent="0.3">
      <c r="A12" s="196"/>
      <c r="B12" s="14" t="s">
        <v>22</v>
      </c>
      <c r="C12" s="212">
        <f t="shared" ref="C12:M12" ca="1" si="0">IF(COUNTIF(C9:C11,"=0")&gt;0,0,AVERAGE(C9:C11))</f>
        <v>-2.9460617996820054E-4</v>
      </c>
      <c r="D12" s="212">
        <f t="shared" ca="1" si="0"/>
        <v>-2.9186552157959661E-4</v>
      </c>
      <c r="E12" s="212">
        <f t="shared" ca="1" si="0"/>
        <v>-3.2817775790146736E-4</v>
      </c>
      <c r="F12" s="212">
        <f t="shared" ca="1" si="0"/>
        <v>1.5919155454608422</v>
      </c>
      <c r="G12" s="212">
        <f t="shared" ca="1" si="0"/>
        <v>1.3128121328088964</v>
      </c>
      <c r="H12" s="212">
        <f t="shared" ca="1" si="0"/>
        <v>1.7945161997106416</v>
      </c>
      <c r="I12" s="212">
        <f t="shared" ca="1" si="0"/>
        <v>1.9565859281473188</v>
      </c>
      <c r="J12" s="212">
        <f t="shared" ca="1" si="0"/>
        <v>0.6046522417514596</v>
      </c>
      <c r="K12" s="212">
        <f t="shared" ca="1" si="0"/>
        <v>1.2357989984634186</v>
      </c>
      <c r="L12" s="212">
        <f t="shared" ca="1" si="0"/>
        <v>1.7890770850807021</v>
      </c>
      <c r="M12" s="212">
        <f t="shared" ca="1" si="0"/>
        <v>0.99715522673419776</v>
      </c>
      <c r="N12" s="213" t="e">
        <f ca="1">IF(COUNTIF(N10:N11,"=0")&gt;0,0,AVERAGE(N10:N11))</f>
        <v>#VALUE!</v>
      </c>
      <c r="O12" s="211"/>
      <c r="P12" s="211"/>
    </row>
    <row r="13" spans="1:16" ht="15.75" customHeight="1" x14ac:dyDescent="0.25">
      <c r="A13" s="196"/>
      <c r="B13" s="198"/>
      <c r="C13" s="199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96"/>
      <c r="B14" s="77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42"/>
    </row>
    <row r="15" spans="1:16" x14ac:dyDescent="0.25">
      <c r="A15" s="196"/>
      <c r="B15" s="196"/>
      <c r="C15" s="196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8" customHeight="1" thickBot="1" x14ac:dyDescent="0.3">
      <c r="A16" s="196"/>
      <c r="B16" s="252" t="s">
        <v>23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96"/>
    </row>
    <row r="17" spans="2:14" ht="24.75" customHeight="1" thickBot="1" x14ac:dyDescent="0.3">
      <c r="B17" s="14" t="s">
        <v>6</v>
      </c>
      <c r="C17" s="15" t="s">
        <v>7</v>
      </c>
      <c r="D17" s="15" t="s">
        <v>8</v>
      </c>
      <c r="E17" s="15" t="s">
        <v>9</v>
      </c>
      <c r="F17" s="15" t="s">
        <v>10</v>
      </c>
      <c r="G17" s="15" t="s">
        <v>11</v>
      </c>
      <c r="H17" s="15" t="s">
        <v>12</v>
      </c>
      <c r="I17" s="15" t="s">
        <v>13</v>
      </c>
      <c r="J17" s="15" t="s">
        <v>14</v>
      </c>
      <c r="K17" s="15" t="s">
        <v>15</v>
      </c>
      <c r="L17" s="15" t="s">
        <v>16</v>
      </c>
      <c r="M17" s="15" t="s">
        <v>17</v>
      </c>
      <c r="N17" s="162" t="s">
        <v>18</v>
      </c>
    </row>
    <row r="18" spans="2:14" x14ac:dyDescent="0.25">
      <c r="B18" s="180" t="s">
        <v>24</v>
      </c>
      <c r="C18" s="210">
        <f t="shared" ref="C18:C35" ca="1" si="1">INDIRECT($B18&amp;"!AY$5")</f>
        <v>-1.0122842079962613E-4</v>
      </c>
      <c r="D18" s="210">
        <f t="shared" ref="D18:D35" ca="1" si="2">INDIRECT($B18&amp;"!AZ$5")</f>
        <v>-9.7526172471495975E-5</v>
      </c>
      <c r="E18" s="210">
        <f t="shared" ref="E18:E35" ca="1" si="3">INDIRECT($B18&amp;"!BA$5")</f>
        <v>-4.4850403804588268E-3</v>
      </c>
      <c r="F18" s="210">
        <f t="shared" ref="F18:F35" ca="1" si="4">INDIRECT($B18&amp;"!AX$21")</f>
        <v>1.5632425066229541</v>
      </c>
      <c r="G18" s="210">
        <f t="shared" ref="G18:G35" ca="1" si="5">INDIRECT($B18&amp;"!AY$21")</f>
        <v>1.3194453654790712</v>
      </c>
      <c r="H18" s="210">
        <f t="shared" ref="H18:H35" ca="1" si="6">INDIRECT($B18&amp;"!AZ$21")</f>
        <v>1.8209052307330398</v>
      </c>
      <c r="I18" s="210">
        <f t="shared" ref="I18:I35" ca="1" si="7">INDIRECT($B18&amp;"!BA$21")</f>
        <v>1.8211321429117058</v>
      </c>
      <c r="J18" s="210">
        <f t="shared" ref="J18:J35" ca="1" si="8">INDIRECT($B18&amp;"!BB$21")</f>
        <v>0.81222371267963656</v>
      </c>
      <c r="K18" s="210">
        <f t="shared" ref="K18:K35" ca="1" si="9">INDIRECT($B18&amp;"!BC$21")</f>
        <v>1.2763586598367702</v>
      </c>
      <c r="L18" s="210">
        <f t="shared" ref="L18:L35" ca="1" si="10">INDIRECT($B18&amp;"!BD$21")</f>
        <v>2.7542334858397242</v>
      </c>
      <c r="M18" s="210">
        <f t="shared" ref="M18:M35" ca="1" si="11">INDIRECT($B18&amp;"!BE$21")</f>
        <v>1.8326831124243936</v>
      </c>
      <c r="N18" s="210" t="e">
        <f t="shared" ref="N18:N35" ca="1" si="12">INDIRECT($B18&amp;"!BC$5")</f>
        <v>#VALUE!</v>
      </c>
    </row>
    <row r="19" spans="2:14" x14ac:dyDescent="0.25">
      <c r="B19" s="181" t="s">
        <v>25</v>
      </c>
      <c r="C19" s="210" t="e">
        <f t="shared" ca="1" si="1"/>
        <v>#VALUE!</v>
      </c>
      <c r="D19" s="210" t="e">
        <f t="shared" ca="1" si="2"/>
        <v>#VALUE!</v>
      </c>
      <c r="E19" s="210" t="e">
        <f t="shared" ca="1" si="3"/>
        <v>#VALUE!</v>
      </c>
      <c r="F19" s="210" t="e">
        <f t="shared" ca="1" si="4"/>
        <v>#DIV/0!</v>
      </c>
      <c r="G19" s="210" t="e">
        <f t="shared" ca="1" si="5"/>
        <v>#DIV/0!</v>
      </c>
      <c r="H19" s="210" t="e">
        <f t="shared" ca="1" si="6"/>
        <v>#DIV/0!</v>
      </c>
      <c r="I19" s="210" t="e">
        <f t="shared" ca="1" si="7"/>
        <v>#DIV/0!</v>
      </c>
      <c r="J19" s="210" t="e">
        <f t="shared" ca="1" si="8"/>
        <v>#DIV/0!</v>
      </c>
      <c r="K19" s="210" t="e">
        <f t="shared" ca="1" si="9"/>
        <v>#DIV/0!</v>
      </c>
      <c r="L19" s="210" t="e">
        <f t="shared" ca="1" si="10"/>
        <v>#DIV/0!</v>
      </c>
      <c r="M19" s="210" t="e">
        <f t="shared" ca="1" si="11"/>
        <v>#DIV/0!</v>
      </c>
      <c r="N19" s="210" t="e">
        <f t="shared" ca="1" si="12"/>
        <v>#VALUE!</v>
      </c>
    </row>
    <row r="20" spans="2:14" x14ac:dyDescent="0.25">
      <c r="B20" s="181" t="s">
        <v>26</v>
      </c>
      <c r="C20" s="210" t="e">
        <f t="shared" ca="1" si="1"/>
        <v>#VALUE!</v>
      </c>
      <c r="D20" s="210" t="e">
        <f t="shared" ca="1" si="2"/>
        <v>#VALUE!</v>
      </c>
      <c r="E20" s="210" t="e">
        <f t="shared" ca="1" si="3"/>
        <v>#VALUE!</v>
      </c>
      <c r="F20" s="210" t="e">
        <f t="shared" ca="1" si="4"/>
        <v>#DIV/0!</v>
      </c>
      <c r="G20" s="210" t="e">
        <f t="shared" ca="1" si="5"/>
        <v>#DIV/0!</v>
      </c>
      <c r="H20" s="210" t="e">
        <f t="shared" ca="1" si="6"/>
        <v>#DIV/0!</v>
      </c>
      <c r="I20" s="210" t="e">
        <f t="shared" ca="1" si="7"/>
        <v>#DIV/0!</v>
      </c>
      <c r="J20" s="210" t="e">
        <f t="shared" ca="1" si="8"/>
        <v>#DIV/0!</v>
      </c>
      <c r="K20" s="210" t="e">
        <f t="shared" ca="1" si="9"/>
        <v>#DIV/0!</v>
      </c>
      <c r="L20" s="210" t="e">
        <f t="shared" ca="1" si="10"/>
        <v>#DIV/0!</v>
      </c>
      <c r="M20" s="210" t="e">
        <f t="shared" ca="1" si="11"/>
        <v>#DIV/0!</v>
      </c>
      <c r="N20" s="210" t="e">
        <f t="shared" ca="1" si="12"/>
        <v>#VALUE!</v>
      </c>
    </row>
    <row r="21" spans="2:14" x14ac:dyDescent="0.25">
      <c r="B21" s="181" t="s">
        <v>27</v>
      </c>
      <c r="C21" s="210" t="e">
        <f t="shared" ca="1" si="1"/>
        <v>#VALUE!</v>
      </c>
      <c r="D21" s="210" t="e">
        <f t="shared" ca="1" si="2"/>
        <v>#VALUE!</v>
      </c>
      <c r="E21" s="210" t="e">
        <f t="shared" ca="1" si="3"/>
        <v>#VALUE!</v>
      </c>
      <c r="F21" s="210" t="e">
        <f t="shared" ca="1" si="4"/>
        <v>#DIV/0!</v>
      </c>
      <c r="G21" s="210" t="e">
        <f t="shared" ca="1" si="5"/>
        <v>#DIV/0!</v>
      </c>
      <c r="H21" s="210" t="e">
        <f t="shared" ca="1" si="6"/>
        <v>#DIV/0!</v>
      </c>
      <c r="I21" s="210" t="e">
        <f t="shared" ca="1" si="7"/>
        <v>#DIV/0!</v>
      </c>
      <c r="J21" s="210" t="e">
        <f t="shared" ca="1" si="8"/>
        <v>#DIV/0!</v>
      </c>
      <c r="K21" s="210" t="e">
        <f t="shared" ca="1" si="9"/>
        <v>#DIV/0!</v>
      </c>
      <c r="L21" s="210" t="e">
        <f t="shared" ca="1" si="10"/>
        <v>#DIV/0!</v>
      </c>
      <c r="M21" s="210" t="e">
        <f t="shared" ca="1" si="11"/>
        <v>#DIV/0!</v>
      </c>
      <c r="N21" s="210" t="e">
        <f t="shared" ca="1" si="12"/>
        <v>#VALUE!</v>
      </c>
    </row>
    <row r="22" spans="2:14" x14ac:dyDescent="0.25">
      <c r="B22" s="181" t="s">
        <v>28</v>
      </c>
      <c r="C22" s="210" t="e">
        <f t="shared" ca="1" si="1"/>
        <v>#VALUE!</v>
      </c>
      <c r="D22" s="210" t="e">
        <f t="shared" ca="1" si="2"/>
        <v>#VALUE!</v>
      </c>
      <c r="E22" s="210" t="e">
        <f t="shared" ca="1" si="3"/>
        <v>#VALUE!</v>
      </c>
      <c r="F22" s="210" t="e">
        <f t="shared" ca="1" si="4"/>
        <v>#DIV/0!</v>
      </c>
      <c r="G22" s="210" t="e">
        <f t="shared" ca="1" si="5"/>
        <v>#DIV/0!</v>
      </c>
      <c r="H22" s="210" t="e">
        <f t="shared" ca="1" si="6"/>
        <v>#DIV/0!</v>
      </c>
      <c r="I22" s="210" t="e">
        <f t="shared" ca="1" si="7"/>
        <v>#DIV/0!</v>
      </c>
      <c r="J22" s="210" t="e">
        <f t="shared" ca="1" si="8"/>
        <v>#DIV/0!</v>
      </c>
      <c r="K22" s="210" t="e">
        <f t="shared" ca="1" si="9"/>
        <v>#DIV/0!</v>
      </c>
      <c r="L22" s="210" t="e">
        <f t="shared" ca="1" si="10"/>
        <v>#DIV/0!</v>
      </c>
      <c r="M22" s="210" t="e">
        <f t="shared" ca="1" si="11"/>
        <v>#DIV/0!</v>
      </c>
      <c r="N22" s="210" t="e">
        <f t="shared" ca="1" si="12"/>
        <v>#VALUE!</v>
      </c>
    </row>
    <row r="23" spans="2:14" x14ac:dyDescent="0.25">
      <c r="B23" s="181" t="s">
        <v>29</v>
      </c>
      <c r="C23" s="210" t="e">
        <f t="shared" ca="1" si="1"/>
        <v>#VALUE!</v>
      </c>
      <c r="D23" s="210" t="e">
        <f t="shared" ca="1" si="2"/>
        <v>#VALUE!</v>
      </c>
      <c r="E23" s="210" t="e">
        <f t="shared" ca="1" si="3"/>
        <v>#VALUE!</v>
      </c>
      <c r="F23" s="210" t="e">
        <f t="shared" ca="1" si="4"/>
        <v>#DIV/0!</v>
      </c>
      <c r="G23" s="210" t="e">
        <f t="shared" ca="1" si="5"/>
        <v>#DIV/0!</v>
      </c>
      <c r="H23" s="210" t="e">
        <f t="shared" ca="1" si="6"/>
        <v>#DIV/0!</v>
      </c>
      <c r="I23" s="210" t="e">
        <f t="shared" ca="1" si="7"/>
        <v>#DIV/0!</v>
      </c>
      <c r="J23" s="210" t="e">
        <f t="shared" ca="1" si="8"/>
        <v>#DIV/0!</v>
      </c>
      <c r="K23" s="210" t="e">
        <f t="shared" ca="1" si="9"/>
        <v>#DIV/0!</v>
      </c>
      <c r="L23" s="210" t="e">
        <f t="shared" ca="1" si="10"/>
        <v>#DIV/0!</v>
      </c>
      <c r="M23" s="210" t="e">
        <f t="shared" ca="1" si="11"/>
        <v>#DIV/0!</v>
      </c>
      <c r="N23" s="210" t="e">
        <f t="shared" ca="1" si="12"/>
        <v>#VALUE!</v>
      </c>
    </row>
    <row r="24" spans="2:14" x14ac:dyDescent="0.25">
      <c r="B24" s="181" t="s">
        <v>30</v>
      </c>
      <c r="C24" s="210" t="e">
        <f t="shared" ca="1" si="1"/>
        <v>#VALUE!</v>
      </c>
      <c r="D24" s="210" t="e">
        <f t="shared" ca="1" si="2"/>
        <v>#VALUE!</v>
      </c>
      <c r="E24" s="210" t="e">
        <f t="shared" ca="1" si="3"/>
        <v>#VALUE!</v>
      </c>
      <c r="F24" s="210" t="e">
        <f t="shared" ca="1" si="4"/>
        <v>#DIV/0!</v>
      </c>
      <c r="G24" s="210" t="e">
        <f t="shared" ca="1" si="5"/>
        <v>#DIV/0!</v>
      </c>
      <c r="H24" s="210" t="e">
        <f t="shared" ca="1" si="6"/>
        <v>#DIV/0!</v>
      </c>
      <c r="I24" s="210" t="e">
        <f t="shared" ca="1" si="7"/>
        <v>#DIV/0!</v>
      </c>
      <c r="J24" s="210" t="e">
        <f t="shared" ca="1" si="8"/>
        <v>#DIV/0!</v>
      </c>
      <c r="K24" s="210" t="e">
        <f t="shared" ca="1" si="9"/>
        <v>#DIV/0!</v>
      </c>
      <c r="L24" s="210" t="e">
        <f t="shared" ca="1" si="10"/>
        <v>#DIV/0!</v>
      </c>
      <c r="M24" s="210" t="e">
        <f t="shared" ca="1" si="11"/>
        <v>#DIV/0!</v>
      </c>
      <c r="N24" s="210" t="e">
        <f t="shared" ca="1" si="12"/>
        <v>#VALUE!</v>
      </c>
    </row>
    <row r="25" spans="2:14" x14ac:dyDescent="0.25">
      <c r="B25" s="181" t="s">
        <v>31</v>
      </c>
      <c r="C25" s="210" t="e">
        <f t="shared" ca="1" si="1"/>
        <v>#VALUE!</v>
      </c>
      <c r="D25" s="210" t="e">
        <f t="shared" ca="1" si="2"/>
        <v>#VALUE!</v>
      </c>
      <c r="E25" s="210" t="e">
        <f t="shared" ca="1" si="3"/>
        <v>#VALUE!</v>
      </c>
      <c r="F25" s="210" t="e">
        <f t="shared" ca="1" si="4"/>
        <v>#DIV/0!</v>
      </c>
      <c r="G25" s="210" t="e">
        <f t="shared" ca="1" si="5"/>
        <v>#DIV/0!</v>
      </c>
      <c r="H25" s="210" t="e">
        <f t="shared" ca="1" si="6"/>
        <v>#DIV/0!</v>
      </c>
      <c r="I25" s="210" t="e">
        <f t="shared" ca="1" si="7"/>
        <v>#DIV/0!</v>
      </c>
      <c r="J25" s="210" t="e">
        <f t="shared" ca="1" si="8"/>
        <v>#DIV/0!</v>
      </c>
      <c r="K25" s="210" t="e">
        <f t="shared" ca="1" si="9"/>
        <v>#DIV/0!</v>
      </c>
      <c r="L25" s="210" t="e">
        <f t="shared" ca="1" si="10"/>
        <v>#DIV/0!</v>
      </c>
      <c r="M25" s="210" t="e">
        <f t="shared" ca="1" si="11"/>
        <v>#DIV/0!</v>
      </c>
      <c r="N25" s="210" t="e">
        <f t="shared" ca="1" si="12"/>
        <v>#VALUE!</v>
      </c>
    </row>
    <row r="26" spans="2:14" x14ac:dyDescent="0.25">
      <c r="B26" s="181" t="s">
        <v>32</v>
      </c>
      <c r="C26" s="210" t="e">
        <f t="shared" ca="1" si="1"/>
        <v>#VALUE!</v>
      </c>
      <c r="D26" s="210" t="e">
        <f t="shared" ca="1" si="2"/>
        <v>#VALUE!</v>
      </c>
      <c r="E26" s="210" t="e">
        <f t="shared" ca="1" si="3"/>
        <v>#VALUE!</v>
      </c>
      <c r="F26" s="210" t="e">
        <f t="shared" ca="1" si="4"/>
        <v>#DIV/0!</v>
      </c>
      <c r="G26" s="210" t="e">
        <f t="shared" ca="1" si="5"/>
        <v>#DIV/0!</v>
      </c>
      <c r="H26" s="210" t="e">
        <f t="shared" ca="1" si="6"/>
        <v>#DIV/0!</v>
      </c>
      <c r="I26" s="210" t="e">
        <f t="shared" ca="1" si="7"/>
        <v>#DIV/0!</v>
      </c>
      <c r="J26" s="210" t="e">
        <f t="shared" ca="1" si="8"/>
        <v>#DIV/0!</v>
      </c>
      <c r="K26" s="210" t="e">
        <f t="shared" ca="1" si="9"/>
        <v>#DIV/0!</v>
      </c>
      <c r="L26" s="210" t="e">
        <f t="shared" ca="1" si="10"/>
        <v>#DIV/0!</v>
      </c>
      <c r="M26" s="210" t="e">
        <f t="shared" ca="1" si="11"/>
        <v>#DIV/0!</v>
      </c>
      <c r="N26" s="210" t="e">
        <f t="shared" ca="1" si="12"/>
        <v>#VALUE!</v>
      </c>
    </row>
    <row r="27" spans="2:14" x14ac:dyDescent="0.25">
      <c r="B27" s="181" t="s">
        <v>33</v>
      </c>
      <c r="C27" s="210" t="e">
        <f t="shared" ca="1" si="1"/>
        <v>#VALUE!</v>
      </c>
      <c r="D27" s="210" t="e">
        <f t="shared" ca="1" si="2"/>
        <v>#VALUE!</v>
      </c>
      <c r="E27" s="210" t="e">
        <f t="shared" ca="1" si="3"/>
        <v>#VALUE!</v>
      </c>
      <c r="F27" s="210" t="e">
        <f t="shared" ca="1" si="4"/>
        <v>#DIV/0!</v>
      </c>
      <c r="G27" s="210" t="e">
        <f t="shared" ca="1" si="5"/>
        <v>#DIV/0!</v>
      </c>
      <c r="H27" s="210" t="e">
        <f t="shared" ca="1" si="6"/>
        <v>#DIV/0!</v>
      </c>
      <c r="I27" s="210" t="e">
        <f t="shared" ca="1" si="7"/>
        <v>#DIV/0!</v>
      </c>
      <c r="J27" s="210" t="e">
        <f t="shared" ca="1" si="8"/>
        <v>#DIV/0!</v>
      </c>
      <c r="K27" s="210" t="e">
        <f t="shared" ca="1" si="9"/>
        <v>#DIV/0!</v>
      </c>
      <c r="L27" s="210" t="e">
        <f t="shared" ca="1" si="10"/>
        <v>#DIV/0!</v>
      </c>
      <c r="M27" s="210" t="e">
        <f t="shared" ca="1" si="11"/>
        <v>#DIV/0!</v>
      </c>
      <c r="N27" s="210" t="e">
        <f t="shared" ca="1" si="12"/>
        <v>#VALUE!</v>
      </c>
    </row>
    <row r="28" spans="2:14" x14ac:dyDescent="0.25">
      <c r="B28" s="181" t="s">
        <v>34</v>
      </c>
      <c r="C28" s="210" t="e">
        <f t="shared" ca="1" si="1"/>
        <v>#VALUE!</v>
      </c>
      <c r="D28" s="210" t="e">
        <f t="shared" ca="1" si="2"/>
        <v>#VALUE!</v>
      </c>
      <c r="E28" s="210" t="e">
        <f t="shared" ca="1" si="3"/>
        <v>#VALUE!</v>
      </c>
      <c r="F28" s="210" t="e">
        <f t="shared" ca="1" si="4"/>
        <v>#DIV/0!</v>
      </c>
      <c r="G28" s="210" t="e">
        <f t="shared" ca="1" si="5"/>
        <v>#DIV/0!</v>
      </c>
      <c r="H28" s="210" t="e">
        <f t="shared" ca="1" si="6"/>
        <v>#DIV/0!</v>
      </c>
      <c r="I28" s="210" t="e">
        <f t="shared" ca="1" si="7"/>
        <v>#DIV/0!</v>
      </c>
      <c r="J28" s="210" t="e">
        <f t="shared" ca="1" si="8"/>
        <v>#DIV/0!</v>
      </c>
      <c r="K28" s="210" t="e">
        <f t="shared" ca="1" si="9"/>
        <v>#DIV/0!</v>
      </c>
      <c r="L28" s="210" t="e">
        <f t="shared" ca="1" si="10"/>
        <v>#DIV/0!</v>
      </c>
      <c r="M28" s="210" t="e">
        <f t="shared" ca="1" si="11"/>
        <v>#DIV/0!</v>
      </c>
      <c r="N28" s="210" t="e">
        <f t="shared" ca="1" si="12"/>
        <v>#VALUE!</v>
      </c>
    </row>
    <row r="29" spans="2:14" x14ac:dyDescent="0.25">
      <c r="B29" s="181" t="s">
        <v>35</v>
      </c>
      <c r="C29" s="210" t="e">
        <f t="shared" ca="1" si="1"/>
        <v>#VALUE!</v>
      </c>
      <c r="D29" s="210" t="e">
        <f t="shared" ca="1" si="2"/>
        <v>#VALUE!</v>
      </c>
      <c r="E29" s="210" t="e">
        <f t="shared" ca="1" si="3"/>
        <v>#VALUE!</v>
      </c>
      <c r="F29" s="210" t="e">
        <f t="shared" ca="1" si="4"/>
        <v>#DIV/0!</v>
      </c>
      <c r="G29" s="210" t="e">
        <f t="shared" ca="1" si="5"/>
        <v>#DIV/0!</v>
      </c>
      <c r="H29" s="210" t="e">
        <f t="shared" ca="1" si="6"/>
        <v>#DIV/0!</v>
      </c>
      <c r="I29" s="210" t="e">
        <f t="shared" ca="1" si="7"/>
        <v>#DIV/0!</v>
      </c>
      <c r="J29" s="210" t="e">
        <f t="shared" ca="1" si="8"/>
        <v>#DIV/0!</v>
      </c>
      <c r="K29" s="210" t="e">
        <f t="shared" ca="1" si="9"/>
        <v>#DIV/0!</v>
      </c>
      <c r="L29" s="210" t="e">
        <f t="shared" ca="1" si="10"/>
        <v>#DIV/0!</v>
      </c>
      <c r="M29" s="210" t="e">
        <f t="shared" ca="1" si="11"/>
        <v>#DIV/0!</v>
      </c>
      <c r="N29" s="210" t="e">
        <f t="shared" ca="1" si="12"/>
        <v>#VALUE!</v>
      </c>
    </row>
    <row r="30" spans="2:14" x14ac:dyDescent="0.25">
      <c r="B30" s="181" t="s">
        <v>36</v>
      </c>
      <c r="C30" s="210" t="e">
        <f t="shared" ca="1" si="1"/>
        <v>#VALUE!</v>
      </c>
      <c r="D30" s="210" t="e">
        <f t="shared" ca="1" si="2"/>
        <v>#VALUE!</v>
      </c>
      <c r="E30" s="210" t="e">
        <f t="shared" ca="1" si="3"/>
        <v>#VALUE!</v>
      </c>
      <c r="F30" s="210" t="e">
        <f t="shared" ca="1" si="4"/>
        <v>#DIV/0!</v>
      </c>
      <c r="G30" s="210" t="e">
        <f t="shared" ca="1" si="5"/>
        <v>#DIV/0!</v>
      </c>
      <c r="H30" s="210" t="e">
        <f t="shared" ca="1" si="6"/>
        <v>#DIV/0!</v>
      </c>
      <c r="I30" s="210" t="e">
        <f t="shared" ca="1" si="7"/>
        <v>#DIV/0!</v>
      </c>
      <c r="J30" s="210" t="e">
        <f t="shared" ca="1" si="8"/>
        <v>#DIV/0!</v>
      </c>
      <c r="K30" s="210" t="e">
        <f t="shared" ca="1" si="9"/>
        <v>#DIV/0!</v>
      </c>
      <c r="L30" s="210" t="e">
        <f t="shared" ca="1" si="10"/>
        <v>#DIV/0!</v>
      </c>
      <c r="M30" s="210" t="e">
        <f t="shared" ca="1" si="11"/>
        <v>#DIV/0!</v>
      </c>
      <c r="N30" s="210" t="e">
        <f t="shared" ca="1" si="12"/>
        <v>#VALUE!</v>
      </c>
    </row>
    <row r="31" spans="2:14" x14ac:dyDescent="0.25">
      <c r="B31" s="181" t="s">
        <v>37</v>
      </c>
      <c r="C31" s="210" t="e">
        <f t="shared" ca="1" si="1"/>
        <v>#VALUE!</v>
      </c>
      <c r="D31" s="210" t="e">
        <f t="shared" ca="1" si="2"/>
        <v>#VALUE!</v>
      </c>
      <c r="E31" s="210" t="e">
        <f t="shared" ca="1" si="3"/>
        <v>#VALUE!</v>
      </c>
      <c r="F31" s="210" t="e">
        <f t="shared" ca="1" si="4"/>
        <v>#DIV/0!</v>
      </c>
      <c r="G31" s="210" t="e">
        <f t="shared" ca="1" si="5"/>
        <v>#DIV/0!</v>
      </c>
      <c r="H31" s="210" t="e">
        <f t="shared" ca="1" si="6"/>
        <v>#DIV/0!</v>
      </c>
      <c r="I31" s="210" t="e">
        <f t="shared" ca="1" si="7"/>
        <v>#DIV/0!</v>
      </c>
      <c r="J31" s="210" t="e">
        <f t="shared" ca="1" si="8"/>
        <v>#DIV/0!</v>
      </c>
      <c r="K31" s="210" t="e">
        <f t="shared" ca="1" si="9"/>
        <v>#DIV/0!</v>
      </c>
      <c r="L31" s="210" t="e">
        <f t="shared" ca="1" si="10"/>
        <v>#DIV/0!</v>
      </c>
      <c r="M31" s="210" t="e">
        <f t="shared" ca="1" si="11"/>
        <v>#DIV/0!</v>
      </c>
      <c r="N31" s="210" t="e">
        <f t="shared" ca="1" si="12"/>
        <v>#VALUE!</v>
      </c>
    </row>
    <row r="32" spans="2:14" x14ac:dyDescent="0.25">
      <c r="B32" s="181" t="s">
        <v>38</v>
      </c>
      <c r="C32" s="210" t="e">
        <f t="shared" ca="1" si="1"/>
        <v>#VALUE!</v>
      </c>
      <c r="D32" s="210" t="e">
        <f t="shared" ca="1" si="2"/>
        <v>#VALUE!</v>
      </c>
      <c r="E32" s="210" t="e">
        <f t="shared" ca="1" si="3"/>
        <v>#VALUE!</v>
      </c>
      <c r="F32" s="210" t="e">
        <f t="shared" ca="1" si="4"/>
        <v>#DIV/0!</v>
      </c>
      <c r="G32" s="210" t="e">
        <f t="shared" ca="1" si="5"/>
        <v>#DIV/0!</v>
      </c>
      <c r="H32" s="210" t="e">
        <f t="shared" ca="1" si="6"/>
        <v>#DIV/0!</v>
      </c>
      <c r="I32" s="210" t="e">
        <f t="shared" ca="1" si="7"/>
        <v>#DIV/0!</v>
      </c>
      <c r="J32" s="210" t="e">
        <f t="shared" ca="1" si="8"/>
        <v>#DIV/0!</v>
      </c>
      <c r="K32" s="210" t="e">
        <f t="shared" ca="1" si="9"/>
        <v>#DIV/0!</v>
      </c>
      <c r="L32" s="210" t="e">
        <f t="shared" ca="1" si="10"/>
        <v>#DIV/0!</v>
      </c>
      <c r="M32" s="210" t="e">
        <f t="shared" ca="1" si="11"/>
        <v>#DIV/0!</v>
      </c>
      <c r="N32" s="210" t="e">
        <f t="shared" ca="1" si="12"/>
        <v>#VALUE!</v>
      </c>
    </row>
    <row r="33" spans="2:14" x14ac:dyDescent="0.25">
      <c r="B33" s="181" t="s">
        <v>39</v>
      </c>
      <c r="C33" s="210" t="e">
        <f t="shared" ca="1" si="1"/>
        <v>#VALUE!</v>
      </c>
      <c r="D33" s="210" t="e">
        <f t="shared" ca="1" si="2"/>
        <v>#VALUE!</v>
      </c>
      <c r="E33" s="210" t="e">
        <f t="shared" ca="1" si="3"/>
        <v>#VALUE!</v>
      </c>
      <c r="F33" s="210" t="e">
        <f t="shared" ca="1" si="4"/>
        <v>#DIV/0!</v>
      </c>
      <c r="G33" s="210" t="e">
        <f t="shared" ca="1" si="5"/>
        <v>#DIV/0!</v>
      </c>
      <c r="H33" s="210" t="e">
        <f t="shared" ca="1" si="6"/>
        <v>#DIV/0!</v>
      </c>
      <c r="I33" s="210" t="e">
        <f t="shared" ca="1" si="7"/>
        <v>#DIV/0!</v>
      </c>
      <c r="J33" s="210" t="e">
        <f t="shared" ca="1" si="8"/>
        <v>#DIV/0!</v>
      </c>
      <c r="K33" s="210" t="e">
        <f t="shared" ca="1" si="9"/>
        <v>#DIV/0!</v>
      </c>
      <c r="L33" s="210" t="e">
        <f t="shared" ca="1" si="10"/>
        <v>#DIV/0!</v>
      </c>
      <c r="M33" s="210" t="e">
        <f t="shared" ca="1" si="11"/>
        <v>#DIV/0!</v>
      </c>
      <c r="N33" s="210" t="e">
        <f t="shared" ca="1" si="12"/>
        <v>#VALUE!</v>
      </c>
    </row>
    <row r="34" spans="2:14" x14ac:dyDescent="0.25">
      <c r="B34" s="181" t="s">
        <v>40</v>
      </c>
      <c r="C34" s="210" t="e">
        <f t="shared" ca="1" si="1"/>
        <v>#VALUE!</v>
      </c>
      <c r="D34" s="210" t="e">
        <f t="shared" ca="1" si="2"/>
        <v>#VALUE!</v>
      </c>
      <c r="E34" s="210" t="e">
        <f t="shared" ca="1" si="3"/>
        <v>#VALUE!</v>
      </c>
      <c r="F34" s="210" t="e">
        <f t="shared" ca="1" si="4"/>
        <v>#DIV/0!</v>
      </c>
      <c r="G34" s="210" t="e">
        <f t="shared" ca="1" si="5"/>
        <v>#DIV/0!</v>
      </c>
      <c r="H34" s="210" t="e">
        <f t="shared" ca="1" si="6"/>
        <v>#DIV/0!</v>
      </c>
      <c r="I34" s="210" t="e">
        <f t="shared" ca="1" si="7"/>
        <v>#DIV/0!</v>
      </c>
      <c r="J34" s="210" t="e">
        <f t="shared" ca="1" si="8"/>
        <v>#DIV/0!</v>
      </c>
      <c r="K34" s="210" t="e">
        <f t="shared" ca="1" si="9"/>
        <v>#DIV/0!</v>
      </c>
      <c r="L34" s="210" t="e">
        <f t="shared" ca="1" si="10"/>
        <v>#DIV/0!</v>
      </c>
      <c r="M34" s="210" t="e">
        <f t="shared" ca="1" si="11"/>
        <v>#DIV/0!</v>
      </c>
      <c r="N34" s="210" t="e">
        <f t="shared" ca="1" si="12"/>
        <v>#VALUE!</v>
      </c>
    </row>
    <row r="35" spans="2:14" ht="17.25" customHeight="1" thickBot="1" x14ac:dyDescent="0.3">
      <c r="B35" s="181" t="s">
        <v>41</v>
      </c>
      <c r="C35" s="210" t="e">
        <f t="shared" ca="1" si="1"/>
        <v>#VALUE!</v>
      </c>
      <c r="D35" s="210" t="e">
        <f t="shared" ca="1" si="2"/>
        <v>#VALUE!</v>
      </c>
      <c r="E35" s="210" t="e">
        <f t="shared" ca="1" si="3"/>
        <v>#VALUE!</v>
      </c>
      <c r="F35" s="210" t="e">
        <f t="shared" ca="1" si="4"/>
        <v>#DIV/0!</v>
      </c>
      <c r="G35" s="210" t="e">
        <f t="shared" ca="1" si="5"/>
        <v>#DIV/0!</v>
      </c>
      <c r="H35" s="210" t="e">
        <f t="shared" ca="1" si="6"/>
        <v>#DIV/0!</v>
      </c>
      <c r="I35" s="210" t="e">
        <f t="shared" ca="1" si="7"/>
        <v>#DIV/0!</v>
      </c>
      <c r="J35" s="210" t="e">
        <f t="shared" ca="1" si="8"/>
        <v>#DIV/0!</v>
      </c>
      <c r="K35" s="210" t="e">
        <f t="shared" ca="1" si="9"/>
        <v>#DIV/0!</v>
      </c>
      <c r="L35" s="210" t="e">
        <f t="shared" ca="1" si="10"/>
        <v>#DIV/0!</v>
      </c>
      <c r="M35" s="210" t="e">
        <f t="shared" ca="1" si="11"/>
        <v>#DIV/0!</v>
      </c>
      <c r="N35" s="210" t="e">
        <f t="shared" ca="1" si="12"/>
        <v>#VALUE!</v>
      </c>
    </row>
    <row r="36" spans="2:14" ht="18" customHeight="1" thickBot="1" x14ac:dyDescent="0.3">
      <c r="B36" s="14" t="s">
        <v>22</v>
      </c>
      <c r="C36" s="212" t="e">
        <f t="shared" ref="C36:N36" ca="1" si="13">IF(COUNTIF(C18:C35,"=0")&gt;0,0,AVERAGE(C18:C35))</f>
        <v>#VALUE!</v>
      </c>
      <c r="D36" s="212" t="e">
        <f t="shared" ca="1" si="13"/>
        <v>#VALUE!</v>
      </c>
      <c r="E36" s="212" t="e">
        <f t="shared" ca="1" si="13"/>
        <v>#VALUE!</v>
      </c>
      <c r="F36" s="212" t="e">
        <f t="shared" ca="1" si="13"/>
        <v>#DIV/0!</v>
      </c>
      <c r="G36" s="212" t="e">
        <f t="shared" ca="1" si="13"/>
        <v>#DIV/0!</v>
      </c>
      <c r="H36" s="212" t="e">
        <f t="shared" ca="1" si="13"/>
        <v>#DIV/0!</v>
      </c>
      <c r="I36" s="212" t="e">
        <f t="shared" ca="1" si="13"/>
        <v>#DIV/0!</v>
      </c>
      <c r="J36" s="212" t="e">
        <f t="shared" ca="1" si="13"/>
        <v>#DIV/0!</v>
      </c>
      <c r="K36" s="212" t="e">
        <f t="shared" ca="1" si="13"/>
        <v>#DIV/0!</v>
      </c>
      <c r="L36" s="212" t="e">
        <f t="shared" ca="1" si="13"/>
        <v>#DIV/0!</v>
      </c>
      <c r="M36" s="212" t="e">
        <f t="shared" ca="1" si="13"/>
        <v>#DIV/0!</v>
      </c>
      <c r="N36" s="212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workbookViewId="0">
      <selection activeCell="H53" sqref="H53"/>
    </sheetView>
  </sheetViews>
  <sheetFormatPr defaultColWidth="9" defaultRowHeight="15.6" x14ac:dyDescent="0.25"/>
  <cols>
    <col min="1" max="1" width="1.69921875" style="202" bestFit="1" customWidth="1"/>
    <col min="2" max="2" width="19.69921875" style="202" customWidth="1"/>
    <col min="3" max="3" width="9.296875" style="202" customWidth="1"/>
    <col min="4" max="4" width="14.296875" style="202" customWidth="1"/>
    <col min="5" max="5" width="4.69921875" style="202" customWidth="1"/>
    <col min="6" max="6" width="18.3984375" style="202" bestFit="1" customWidth="1"/>
    <col min="7" max="7" width="9.296875" style="202" customWidth="1"/>
    <col min="8" max="8" width="14.296875" style="202" customWidth="1"/>
    <col min="9" max="9" width="4.69921875" style="202" customWidth="1"/>
    <col min="10" max="10" width="9.69921875" style="202" customWidth="1"/>
    <col min="11" max="11" width="4.69921875" style="202" customWidth="1"/>
    <col min="12" max="12" width="14.296875" style="202" bestFit="1" customWidth="1"/>
    <col min="13" max="13" width="21.69921875" style="202" bestFit="1" customWidth="1"/>
    <col min="14" max="14" width="7.69921875" style="202" bestFit="1" customWidth="1"/>
    <col min="15" max="15" width="4.69921875" style="202" customWidth="1"/>
    <col min="16" max="16" width="9.69921875" style="202" bestFit="1" customWidth="1"/>
    <col min="17" max="17" width="4.69921875" style="202" customWidth="1"/>
    <col min="18" max="18" width="84.69921875" style="202" customWidth="1"/>
    <col min="19" max="19" width="6.3984375" style="202" bestFit="1" customWidth="1"/>
    <col min="20" max="20" width="9.69921875" style="202" bestFit="1" customWidth="1"/>
    <col min="21" max="21" width="1.69921875" style="202" bestFit="1" customWidth="1"/>
    <col min="22" max="22" width="7.69921875" style="202" bestFit="1" customWidth="1"/>
    <col min="23" max="23" width="1.69921875" style="202" bestFit="1" customWidth="1"/>
    <col min="24" max="24" width="14.296875" style="202" bestFit="1" customWidth="1"/>
    <col min="25" max="25" width="16.09765625" style="202" bestFit="1" customWidth="1"/>
    <col min="26" max="26" width="5.09765625" style="202" bestFit="1" customWidth="1"/>
    <col min="27" max="27" width="1.69921875" style="202" bestFit="1" customWidth="1"/>
    <col min="28" max="28" width="9" style="206" bestFit="1" customWidth="1"/>
    <col min="29" max="29" width="9" style="202" customWidth="1"/>
    <col min="30" max="30" width="1.296875" style="202" bestFit="1" customWidth="1"/>
    <col min="31" max="31" width="80.69921875" style="202" customWidth="1"/>
    <col min="32" max="32" width="1.296875" style="202" bestFit="1" customWidth="1"/>
    <col min="33" max="38" width="9" style="202" customWidth="1"/>
  </cols>
  <sheetData>
    <row r="1" spans="1:32" x14ac:dyDescent="0.25">
      <c r="AD1" s="10"/>
      <c r="AF1" s="10"/>
    </row>
    <row r="2" spans="1:32" x14ac:dyDescent="0.25">
      <c r="B2" s="264" t="str">
        <f>'Summary (auto)'!C3</f>
        <v>MPEG151-octree</v>
      </c>
      <c r="C2" s="257"/>
      <c r="D2" s="257"/>
      <c r="E2" s="83"/>
      <c r="F2" s="264" t="str">
        <f>'Summary (auto)'!C4</f>
        <v>MPEG151-修改上下文</v>
      </c>
      <c r="G2" s="257"/>
      <c r="H2" s="257"/>
      <c r="I2" s="206"/>
      <c r="J2" s="201" t="s">
        <v>42</v>
      </c>
      <c r="K2" s="206"/>
      <c r="L2" s="263" t="s">
        <v>43</v>
      </c>
      <c r="M2" s="257"/>
      <c r="N2" s="257"/>
      <c r="O2" s="206"/>
      <c r="P2" s="201" t="s">
        <v>44</v>
      </c>
      <c r="U2" s="201"/>
      <c r="V2" s="201"/>
    </row>
    <row r="3" spans="1:32" ht="16.5" customHeight="1" thickBot="1" x14ac:dyDescent="0.3">
      <c r="A3" s="143"/>
      <c r="B3" s="83"/>
      <c r="C3" s="83"/>
      <c r="D3" s="83"/>
      <c r="E3" s="83"/>
      <c r="F3" s="83"/>
      <c r="G3" s="83"/>
      <c r="H3" s="83"/>
      <c r="I3" s="206"/>
      <c r="J3" s="206"/>
      <c r="K3" s="144"/>
      <c r="L3" s="76" t="s">
        <v>45</v>
      </c>
      <c r="M3" s="76" t="s">
        <v>46</v>
      </c>
      <c r="N3" s="206"/>
      <c r="O3" s="144"/>
      <c r="P3" s="206"/>
      <c r="U3" s="143"/>
      <c r="W3" s="143"/>
    </row>
    <row r="4" spans="1:32" x14ac:dyDescent="0.25">
      <c r="B4" s="265" t="s">
        <v>19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205"/>
      <c r="L4" s="259" t="str">
        <f>F4</f>
        <v>bartender_track</v>
      </c>
      <c r="M4" s="260"/>
      <c r="N4" s="261"/>
      <c r="O4" s="149"/>
      <c r="P4" s="205"/>
      <c r="Q4" s="149"/>
      <c r="R4" s="149"/>
      <c r="S4" s="149"/>
      <c r="T4" s="149"/>
      <c r="U4" s="206"/>
      <c r="V4" s="206"/>
      <c r="X4" s="266"/>
      <c r="Y4" s="257"/>
      <c r="Z4" s="257"/>
    </row>
    <row r="5" spans="1:32" x14ac:dyDescent="0.25">
      <c r="B5" s="262" t="s">
        <v>47</v>
      </c>
      <c r="C5" s="257"/>
      <c r="D5" s="61" t="s">
        <v>48</v>
      </c>
      <c r="E5" s="216"/>
      <c r="F5" s="262" t="s">
        <v>47</v>
      </c>
      <c r="G5" s="257"/>
      <c r="H5" s="61" t="s">
        <v>48</v>
      </c>
      <c r="I5" s="9"/>
      <c r="J5" s="203" t="s">
        <v>49</v>
      </c>
      <c r="L5" s="256" t="s">
        <v>50</v>
      </c>
      <c r="M5" s="257"/>
      <c r="N5" s="258"/>
      <c r="O5" s="59"/>
      <c r="P5" s="3"/>
      <c r="Q5" s="59"/>
      <c r="R5" s="263"/>
      <c r="S5" s="257"/>
      <c r="T5" s="257"/>
      <c r="U5" s="201"/>
      <c r="V5" s="201"/>
      <c r="X5" s="263"/>
      <c r="Y5" s="257"/>
      <c r="Z5" s="257"/>
    </row>
    <row r="6" spans="1:32" x14ac:dyDescent="0.25">
      <c r="B6" s="145" t="s">
        <v>0</v>
      </c>
      <c r="C6" s="93" t="s">
        <v>51</v>
      </c>
      <c r="D6" s="60" t="s">
        <v>52</v>
      </c>
      <c r="E6" s="216"/>
      <c r="F6" s="145" t="s">
        <v>0</v>
      </c>
      <c r="G6" s="93" t="s">
        <v>51</v>
      </c>
      <c r="H6" s="60" t="s">
        <v>52</v>
      </c>
      <c r="I6" s="9"/>
      <c r="J6" s="64"/>
      <c r="L6" s="146" t="str">
        <f>CONCATENATE(B$2," ",L4)</f>
        <v>MPEG151-octree bartender_track</v>
      </c>
      <c r="M6" s="147" t="str">
        <f>CONCATENATE(F$2," ",L4)</f>
        <v>MPEG151-修改上下文 bartender_track</v>
      </c>
      <c r="N6" s="148" t="s">
        <v>53</v>
      </c>
      <c r="O6" s="2"/>
      <c r="P6" s="3" t="s">
        <v>44</v>
      </c>
      <c r="Q6" s="2"/>
      <c r="R6" s="2"/>
      <c r="S6" s="2"/>
      <c r="T6" s="2"/>
      <c r="U6" s="2"/>
      <c r="V6" s="2"/>
      <c r="X6" s="149"/>
      <c r="Y6" s="149"/>
      <c r="Z6" s="149"/>
    </row>
    <row r="7" spans="1:32" x14ac:dyDescent="0.25">
      <c r="B7" s="86" t="str">
        <f>B4</f>
        <v>bartender_track</v>
      </c>
      <c r="C7" s="93" t="s">
        <v>54</v>
      </c>
      <c r="D7" s="217">
        <f ca="1">0.000001*INDIRECT($B7&amp;"!E5")</f>
        <v>4.7279939999999998</v>
      </c>
      <c r="E7" s="216"/>
      <c r="F7" s="86" t="str">
        <f>F4</f>
        <v>bartender_track</v>
      </c>
      <c r="G7" s="93" t="s">
        <v>54</v>
      </c>
      <c r="H7" s="217">
        <f ca="1">0.000001*INDIRECT($B7&amp;"!AC5")</f>
        <v>4.7251889999999994</v>
      </c>
      <c r="I7" s="9"/>
      <c r="J7" s="218">
        <f ca="1">H7/D7-1</f>
        <v>-5.9327486456206557E-4</v>
      </c>
      <c r="L7" s="65">
        <f ca="1">INDIRECT($B7&amp;"!"&amp;L$3&amp;"5")</f>
        <v>30.738500000000009</v>
      </c>
      <c r="M7" s="66">
        <f ca="1">INDIRECT($B7&amp;"!"&amp;M$3&amp;"5")</f>
        <v>30.738489229999999</v>
      </c>
      <c r="N7" s="67">
        <f ca="1">M7-L7</f>
        <v>-1.0770000010040803E-5</v>
      </c>
      <c r="O7" s="216"/>
      <c r="P7" s="218">
        <f ca="1">bdRateExtend(D7:D11,L7:L11,H7:H11,M7:M11)</f>
        <v>-3.3899919967195213E-4</v>
      </c>
      <c r="Q7" s="216"/>
      <c r="R7" s="9"/>
      <c r="S7" s="9"/>
      <c r="T7" s="9"/>
      <c r="U7" s="9"/>
      <c r="V7" s="219"/>
      <c r="X7" s="6"/>
      <c r="Y7" s="6"/>
      <c r="Z7" s="56"/>
      <c r="AB7" s="220"/>
    </row>
    <row r="8" spans="1:32" x14ac:dyDescent="0.25">
      <c r="B8" s="86" t="str">
        <f>B7</f>
        <v>bartender_track</v>
      </c>
      <c r="C8" s="93" t="s">
        <v>55</v>
      </c>
      <c r="D8" s="217">
        <f ca="1">0.000001*INDIRECT($B8&amp;"!E6")</f>
        <v>6.9946069999999994</v>
      </c>
      <c r="E8" s="216"/>
      <c r="F8" s="86" t="str">
        <f>F7</f>
        <v>bartender_track</v>
      </c>
      <c r="G8" s="93" t="s">
        <v>55</v>
      </c>
      <c r="H8" s="217">
        <f ca="1">0.000001*INDIRECT($B8&amp;"!AC6")</f>
        <v>6.9918019999999999</v>
      </c>
      <c r="I8" s="9"/>
      <c r="J8" s="218">
        <f ca="1">H8/D8-1</f>
        <v>-4.010232454803031E-4</v>
      </c>
      <c r="L8" s="65">
        <f ca="1">INDIRECT($B8&amp;"!"&amp;L$3&amp;"6")</f>
        <v>33.326747619047623</v>
      </c>
      <c r="M8" s="66">
        <f ca="1">INDIRECT($B8&amp;"!"&amp;M$3&amp;"6")</f>
        <v>33.326761699999999</v>
      </c>
      <c r="N8" s="67">
        <f ca="1">M8-L8</f>
        <v>1.4080952375650213E-5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6"/>
    </row>
    <row r="9" spans="1:32" x14ac:dyDescent="0.25">
      <c r="B9" s="86" t="str">
        <f>B8</f>
        <v>bartender_track</v>
      </c>
      <c r="C9" s="93" t="s">
        <v>56</v>
      </c>
      <c r="D9" s="217">
        <f ca="1">0.000001*INDIRECT($B9&amp;"!E7")</f>
        <v>10.471855</v>
      </c>
      <c r="E9" s="216"/>
      <c r="F9" s="86" t="str">
        <f>F8</f>
        <v>bartender_track</v>
      </c>
      <c r="G9" s="93" t="s">
        <v>56</v>
      </c>
      <c r="H9" s="217">
        <f ca="1">0.000001*INDIRECT($B9&amp;"!AC7")</f>
        <v>10.469049999999999</v>
      </c>
      <c r="I9" s="9"/>
      <c r="J9" s="218">
        <f ca="1">H9/D9-1</f>
        <v>-2.6786085177843422E-4</v>
      </c>
      <c r="L9" s="65">
        <f ca="1">INDIRECT($B9&amp;"!"&amp;L$3&amp;"7")</f>
        <v>35.891647619047617</v>
      </c>
      <c r="M9" s="66">
        <f ca="1">INDIRECT($B9&amp;"!"&amp;M$3&amp;"7")</f>
        <v>35.891653679999997</v>
      </c>
      <c r="N9" s="67">
        <f ca="1">M9-L9</f>
        <v>6.0609523799826093E-6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6"/>
    </row>
    <row r="10" spans="1:32" x14ac:dyDescent="0.25">
      <c r="B10" s="86" t="str">
        <f>B9</f>
        <v>bartender_track</v>
      </c>
      <c r="C10" s="93" t="s">
        <v>57</v>
      </c>
      <c r="D10" s="217">
        <f ca="1">0.000001*INDIRECT($B10&amp;"!E8")</f>
        <v>15.070107</v>
      </c>
      <c r="E10" s="216"/>
      <c r="F10" s="86" t="str">
        <f>F9</f>
        <v>bartender_track</v>
      </c>
      <c r="G10" s="93" t="s">
        <v>57</v>
      </c>
      <c r="H10" s="217">
        <f ca="1">0.000001*INDIRECT($B10&amp;"!AC8")</f>
        <v>15.067302</v>
      </c>
      <c r="I10" s="9"/>
      <c r="J10" s="218">
        <f ca="1">H10/D10-1</f>
        <v>-1.8613006530077136E-4</v>
      </c>
      <c r="L10" s="65">
        <f ca="1">INDIRECT($B10&amp;"!"&amp;L$3&amp;"8")</f>
        <v>37.737238095238098</v>
      </c>
      <c r="M10" s="66">
        <f ca="1">INDIRECT($B10&amp;"!"&amp;M$3&amp;"8")</f>
        <v>37.737239559999999</v>
      </c>
      <c r="N10" s="67">
        <f ca="1">M10-L10</f>
        <v>1.4647619011043389E-6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6"/>
    </row>
    <row r="11" spans="1:32" ht="16.5" customHeight="1" thickBot="1" x14ac:dyDescent="0.3">
      <c r="B11" s="86" t="str">
        <f>B10</f>
        <v>bartender_track</v>
      </c>
      <c r="C11" s="93" t="s">
        <v>58</v>
      </c>
      <c r="D11" s="217">
        <f ca="1">0.000001*INDIRECT($B11&amp;"!E9")</f>
        <v>19.405922</v>
      </c>
      <c r="E11" s="216"/>
      <c r="F11" s="86" t="str">
        <f>F10</f>
        <v>bartender_track</v>
      </c>
      <c r="G11" s="93" t="s">
        <v>58</v>
      </c>
      <c r="H11" s="217">
        <f ca="1">0.000001*INDIRECT($B11&amp;"!AC9")</f>
        <v>19.403116999999998</v>
      </c>
      <c r="I11" s="9"/>
      <c r="J11" s="218">
        <f ca="1">H11/D11-1</f>
        <v>-1.4454350584336417E-4</v>
      </c>
      <c r="L11" s="65">
        <f ca="1">INDIRECT($B11&amp;"!"&amp;L$3&amp;"9")</f>
        <v>38.752842857142852</v>
      </c>
      <c r="M11" s="66">
        <f ca="1">INDIRECT($B11&amp;"!"&amp;M$3&amp;"9")</f>
        <v>38.752838400000002</v>
      </c>
      <c r="N11" s="67">
        <f ca="1">M11-L11</f>
        <v>-4.4571428503559218E-6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6"/>
      <c r="AB11" s="220"/>
    </row>
    <row r="12" spans="1:32" ht="16.5" customHeight="1" x14ac:dyDescent="0.25">
      <c r="B12" s="80"/>
      <c r="C12" s="81"/>
      <c r="D12" s="222"/>
      <c r="F12" s="80"/>
      <c r="G12" s="81"/>
      <c r="H12" s="222"/>
      <c r="J12" s="69">
        <f ca="1">MIN(D7:D11,H7:H11)</f>
        <v>4.7251889999999994</v>
      </c>
      <c r="L12" s="70"/>
      <c r="M12" s="71"/>
      <c r="N12" s="72"/>
      <c r="O12" s="216"/>
      <c r="P12" s="205"/>
      <c r="Q12" s="216"/>
      <c r="R12" s="9"/>
      <c r="S12" s="9"/>
      <c r="T12" s="9"/>
      <c r="U12" s="9"/>
      <c r="V12" s="57"/>
      <c r="X12" s="6"/>
      <c r="Y12" s="6"/>
      <c r="Z12" s="56"/>
    </row>
    <row r="13" spans="1:32" ht="16.5" customHeight="1" thickBot="1" x14ac:dyDescent="0.3">
      <c r="B13" s="62"/>
      <c r="C13" s="63"/>
      <c r="D13" s="223"/>
      <c r="E13" s="216"/>
      <c r="F13" s="62"/>
      <c r="G13" s="63"/>
      <c r="H13" s="223"/>
      <c r="I13" s="9"/>
      <c r="J13" s="73">
        <f ca="1">MAX(D7:D11,H7:H11)</f>
        <v>19.405922</v>
      </c>
      <c r="L13" s="74">
        <f>L12</f>
        <v>0</v>
      </c>
      <c r="M13" s="75">
        <f>M12</f>
        <v>0</v>
      </c>
      <c r="N13" s="68"/>
      <c r="O13" s="216"/>
      <c r="P13" s="5"/>
      <c r="Q13" s="216"/>
      <c r="R13" s="9"/>
      <c r="S13" s="9"/>
      <c r="T13" s="9"/>
      <c r="U13" s="9"/>
      <c r="V13" s="57"/>
      <c r="X13" s="58"/>
      <c r="Y13" s="58"/>
      <c r="Z13" s="56"/>
    </row>
    <row r="14" spans="1:32" ht="16.5" customHeight="1" thickBot="1" x14ac:dyDescent="0.3">
      <c r="B14" s="83"/>
      <c r="C14" s="83"/>
      <c r="D14" s="224"/>
      <c r="E14" s="216"/>
      <c r="F14" s="83"/>
      <c r="G14" s="83"/>
      <c r="H14" s="224"/>
      <c r="I14" s="9"/>
      <c r="J14" s="163"/>
      <c r="L14" s="164"/>
      <c r="M14" s="164"/>
      <c r="N14" s="165"/>
      <c r="O14" s="216"/>
      <c r="P14" s="206"/>
      <c r="Q14" s="216"/>
      <c r="R14" s="9"/>
      <c r="S14" s="9"/>
      <c r="T14" s="9"/>
      <c r="U14" s="9"/>
      <c r="V14" s="57"/>
      <c r="X14" s="58"/>
      <c r="Y14" s="58"/>
      <c r="Z14" s="56"/>
    </row>
    <row r="15" spans="1:32" x14ac:dyDescent="0.25">
      <c r="B15" s="265" t="s">
        <v>20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205"/>
      <c r="L15" s="259" t="str">
        <f>F15</f>
        <v>breakfast_track</v>
      </c>
      <c r="M15" s="260"/>
      <c r="N15" s="261"/>
      <c r="O15" s="149"/>
      <c r="P15" s="205"/>
      <c r="Q15" s="149"/>
      <c r="R15" s="149"/>
      <c r="S15" s="149"/>
      <c r="T15" s="149"/>
      <c r="U15" s="206"/>
      <c r="V15" s="206"/>
      <c r="X15" s="266"/>
      <c r="Y15" s="257"/>
      <c r="Z15" s="257"/>
    </row>
    <row r="16" spans="1:32" x14ac:dyDescent="0.25">
      <c r="B16" s="262" t="s">
        <v>47</v>
      </c>
      <c r="C16" s="257"/>
      <c r="D16" s="61" t="s">
        <v>48</v>
      </c>
      <c r="E16" s="216"/>
      <c r="F16" s="262" t="s">
        <v>47</v>
      </c>
      <c r="G16" s="257"/>
      <c r="H16" s="61" t="s">
        <v>48</v>
      </c>
      <c r="I16" s="9"/>
      <c r="J16" s="203" t="s">
        <v>49</v>
      </c>
      <c r="L16" s="256" t="s">
        <v>50</v>
      </c>
      <c r="M16" s="257"/>
      <c r="N16" s="258"/>
      <c r="O16" s="59"/>
      <c r="P16" s="3"/>
      <c r="Q16" s="59"/>
      <c r="R16" s="263"/>
      <c r="S16" s="257"/>
      <c r="T16" s="257"/>
      <c r="U16" s="201"/>
      <c r="V16" s="201"/>
      <c r="X16" s="263"/>
      <c r="Y16" s="257"/>
      <c r="Z16" s="257"/>
    </row>
    <row r="17" spans="2:28" x14ac:dyDescent="0.25">
      <c r="B17" s="145" t="s">
        <v>0</v>
      </c>
      <c r="C17" s="93" t="s">
        <v>51</v>
      </c>
      <c r="D17" s="60" t="s">
        <v>52</v>
      </c>
      <c r="E17" s="216"/>
      <c r="F17" s="145" t="s">
        <v>0</v>
      </c>
      <c r="G17" s="93" t="s">
        <v>51</v>
      </c>
      <c r="H17" s="60" t="s">
        <v>52</v>
      </c>
      <c r="I17" s="9"/>
      <c r="J17" s="64"/>
      <c r="L17" s="146" t="str">
        <f>CONCATENATE(B$2," ",L15)</f>
        <v>MPEG151-octree breakfast_track</v>
      </c>
      <c r="M17" s="147" t="str">
        <f>CONCATENATE(F$2," ",L15)</f>
        <v>MPEG151-修改上下文 breakfast_track</v>
      </c>
      <c r="N17" s="148" t="s">
        <v>53</v>
      </c>
      <c r="O17" s="2"/>
      <c r="P17" s="3" t="s">
        <v>44</v>
      </c>
      <c r="Q17" s="2"/>
      <c r="R17" s="2"/>
      <c r="S17" s="2"/>
      <c r="T17" s="2"/>
      <c r="U17" s="2"/>
      <c r="V17" s="2"/>
      <c r="X17" s="149"/>
      <c r="Y17" s="149"/>
      <c r="Z17" s="149"/>
    </row>
    <row r="18" spans="2:28" x14ac:dyDescent="0.25">
      <c r="B18" s="86" t="str">
        <f>B15</f>
        <v>breakfast_track</v>
      </c>
      <c r="C18" s="93" t="s">
        <v>54</v>
      </c>
      <c r="D18" s="217">
        <f ca="1">0.000001*INDIRECT($B18&amp;"!E5")</f>
        <v>4.6121470000000002</v>
      </c>
      <c r="E18" s="216"/>
      <c r="F18" s="86" t="str">
        <f>F15</f>
        <v>breakfast_track</v>
      </c>
      <c r="G18" s="93" t="s">
        <v>54</v>
      </c>
      <c r="H18" s="217">
        <f ca="1">0.000001*INDIRECT($B18&amp;"!AC5")</f>
        <v>4.6105029999999996</v>
      </c>
      <c r="I18" s="9"/>
      <c r="J18" s="218">
        <f ca="1">H18/D18-1</f>
        <v>-3.5645004376505529E-4</v>
      </c>
      <c r="L18" s="65">
        <f ca="1">INDIRECT($B18&amp;"!"&amp;L$3&amp;"5")</f>
        <v>27.19622</v>
      </c>
      <c r="M18" s="66">
        <f ca="1">INDIRECT($B18&amp;"!"&amp;M$3&amp;"5")</f>
        <v>27.196215120000002</v>
      </c>
      <c r="N18" s="67">
        <f ca="1">M18-L18</f>
        <v>-4.8799999987636511E-6</v>
      </c>
      <c r="O18" s="216"/>
      <c r="P18" s="218">
        <f ca="1">bdRateExtend(D18:D22,L18:L22,H18:H22,M18:M22)</f>
        <v>-2.1743374249993952E-4</v>
      </c>
      <c r="Q18" s="216"/>
      <c r="R18" s="9"/>
      <c r="S18" s="9"/>
      <c r="T18" s="9"/>
      <c r="U18" s="9"/>
      <c r="V18" s="219"/>
      <c r="X18" s="6"/>
      <c r="Y18" s="6"/>
      <c r="Z18" s="56"/>
      <c r="AB18" s="220"/>
    </row>
    <row r="19" spans="2:28" x14ac:dyDescent="0.25">
      <c r="B19" s="86" t="str">
        <f>B18</f>
        <v>breakfast_track</v>
      </c>
      <c r="C19" s="93" t="s">
        <v>55</v>
      </c>
      <c r="D19" s="217">
        <f ca="1">0.000001*INDIRECT($B19&amp;"!E6")</f>
        <v>6.6383890000000001</v>
      </c>
      <c r="E19" s="216"/>
      <c r="F19" s="86" t="str">
        <f>F18</f>
        <v>breakfast_track</v>
      </c>
      <c r="G19" s="93" t="s">
        <v>55</v>
      </c>
      <c r="H19" s="217">
        <f ca="1">0.000001*INDIRECT($B19&amp;"!AC6")</f>
        <v>6.6367449999999995</v>
      </c>
      <c r="I19" s="9"/>
      <c r="J19" s="218">
        <f ca="1">H19/D19-1</f>
        <v>-2.4765044651653412E-4</v>
      </c>
      <c r="L19" s="65">
        <f ca="1">INDIRECT($B19&amp;"!"&amp;L$3&amp;"6")</f>
        <v>30.453013333333342</v>
      </c>
      <c r="M19" s="66">
        <f ca="1">INDIRECT($B19&amp;"!"&amp;M$3&amp;"6")</f>
        <v>30.45301422</v>
      </c>
      <c r="N19" s="67">
        <f ca="1">M19-L19</f>
        <v>8.8666665831738101E-7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6"/>
    </row>
    <row r="20" spans="2:28" x14ac:dyDescent="0.25">
      <c r="B20" s="86" t="str">
        <f>B19</f>
        <v>breakfast_track</v>
      </c>
      <c r="C20" s="93" t="s">
        <v>56</v>
      </c>
      <c r="D20" s="217">
        <f ca="1">0.000001*INDIRECT($B20&amp;"!E7")</f>
        <v>9.5796299999999999</v>
      </c>
      <c r="E20" s="216"/>
      <c r="F20" s="86" t="str">
        <f>F19</f>
        <v>breakfast_track</v>
      </c>
      <c r="G20" s="93" t="s">
        <v>56</v>
      </c>
      <c r="H20" s="217">
        <f ca="1">0.000001*INDIRECT($B20&amp;"!AC7")</f>
        <v>9.5779859999999992</v>
      </c>
      <c r="I20" s="9"/>
      <c r="J20" s="218">
        <f ca="1">H20/D20-1</f>
        <v>-1.7161414376132278E-4</v>
      </c>
      <c r="L20" s="65">
        <f ca="1">INDIRECT($B20&amp;"!"&amp;L$3&amp;"7")</f>
        <v>34.500453333333333</v>
      </c>
      <c r="M20" s="66">
        <f ca="1">INDIRECT($B20&amp;"!"&amp;M$3&amp;"7")</f>
        <v>34.500437269999999</v>
      </c>
      <c r="N20" s="67">
        <f ca="1">M20-L20</f>
        <v>-1.6063333333704577E-5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6"/>
    </row>
    <row r="21" spans="2:28" x14ac:dyDescent="0.25">
      <c r="B21" s="86" t="str">
        <f>B20</f>
        <v>breakfast_track</v>
      </c>
      <c r="C21" s="93" t="s">
        <v>57</v>
      </c>
      <c r="D21" s="217">
        <f ca="1">0.000001*INDIRECT($B21&amp;"!E8")</f>
        <v>13.510923999999999</v>
      </c>
      <c r="E21" s="216"/>
      <c r="F21" s="86" t="str">
        <f>F20</f>
        <v>breakfast_track</v>
      </c>
      <c r="G21" s="93" t="s">
        <v>57</v>
      </c>
      <c r="H21" s="217">
        <f ca="1">0.000001*INDIRECT($B21&amp;"!AC8")</f>
        <v>13.509279999999999</v>
      </c>
      <c r="I21" s="9"/>
      <c r="J21" s="218">
        <f ca="1">H21/D21-1</f>
        <v>-1.2167931667739218E-4</v>
      </c>
      <c r="L21" s="65">
        <f ca="1">INDIRECT($B21&amp;"!"&amp;L$3&amp;"8")</f>
        <v>36.634253333333326</v>
      </c>
      <c r="M21" s="66">
        <f ca="1">INDIRECT($B21&amp;"!"&amp;M$3&amp;"8")</f>
        <v>36.63425565</v>
      </c>
      <c r="N21" s="67">
        <f ca="1">M21-L21</f>
        <v>2.3166666736074149E-6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6"/>
    </row>
    <row r="22" spans="2:28" ht="16.5" customHeight="1" thickBot="1" x14ac:dyDescent="0.3">
      <c r="B22" s="86" t="str">
        <f>B21</f>
        <v>breakfast_track</v>
      </c>
      <c r="C22" s="93" t="s">
        <v>58</v>
      </c>
      <c r="D22" s="217">
        <f ca="1">0.000001*INDIRECT($B22&amp;"!E9")</f>
        <v>17.324469999999998</v>
      </c>
      <c r="E22" s="216"/>
      <c r="F22" s="86" t="str">
        <f>F21</f>
        <v>breakfast_track</v>
      </c>
      <c r="G22" s="93" t="s">
        <v>58</v>
      </c>
      <c r="H22" s="217">
        <f ca="1">0.000001*INDIRECT($B22&amp;"!AC9")</f>
        <v>17.322825999999999</v>
      </c>
      <c r="I22" s="9"/>
      <c r="J22" s="218">
        <f ca="1">H22/D22-1</f>
        <v>-9.4894677874601818E-5</v>
      </c>
      <c r="L22" s="65">
        <f ca="1">INDIRECT($B22&amp;"!"&amp;L$3&amp;"9")</f>
        <v>37.30777333333333</v>
      </c>
      <c r="M22" s="66">
        <f ca="1">INDIRECT($B22&amp;"!"&amp;M$3&amp;"9")</f>
        <v>37.307762869999998</v>
      </c>
      <c r="N22" s="67">
        <f ca="1">M22-L22</f>
        <v>-1.0463333332211278E-5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6"/>
      <c r="AB22" s="220"/>
    </row>
    <row r="23" spans="2:28" ht="16.5" customHeight="1" x14ac:dyDescent="0.25">
      <c r="B23" s="80"/>
      <c r="C23" s="81"/>
      <c r="D23" s="222"/>
      <c r="F23" s="80"/>
      <c r="G23" s="81"/>
      <c r="H23" s="222"/>
      <c r="J23" s="69">
        <f ca="1">MIN(D18:D22,H18:H22)</f>
        <v>4.6105029999999996</v>
      </c>
      <c r="L23" s="70"/>
      <c r="M23" s="71"/>
      <c r="N23" s="72"/>
      <c r="O23" s="216"/>
      <c r="P23" s="205"/>
      <c r="Q23" s="216"/>
      <c r="R23" s="9"/>
      <c r="S23" s="9"/>
      <c r="T23" s="9"/>
      <c r="U23" s="9"/>
      <c r="V23" s="57"/>
      <c r="X23" s="6"/>
      <c r="Y23" s="6"/>
      <c r="Z23" s="56"/>
    </row>
    <row r="24" spans="2:28" ht="16.5" customHeight="1" thickBot="1" x14ac:dyDescent="0.3">
      <c r="B24" s="62"/>
      <c r="C24" s="63"/>
      <c r="D24" s="223"/>
      <c r="E24" s="216"/>
      <c r="F24" s="62"/>
      <c r="G24" s="63"/>
      <c r="H24" s="223"/>
      <c r="I24" s="9"/>
      <c r="J24" s="73">
        <f ca="1">MAX(D18:D22,H18:H22)</f>
        <v>17.324469999999998</v>
      </c>
      <c r="L24" s="74">
        <f>L23</f>
        <v>0</v>
      </c>
      <c r="M24" s="75">
        <f>M23</f>
        <v>0</v>
      </c>
      <c r="N24" s="68"/>
      <c r="O24" s="216"/>
      <c r="P24" s="5"/>
      <c r="Q24" s="216"/>
      <c r="R24" s="9"/>
      <c r="S24" s="9"/>
      <c r="T24" s="9"/>
      <c r="U24" s="9"/>
      <c r="V24" s="57"/>
      <c r="X24" s="58"/>
      <c r="Y24" s="58"/>
      <c r="Z24" s="56"/>
    </row>
    <row r="25" spans="2:28" ht="16.5" customHeight="1" thickBot="1" x14ac:dyDescent="0.3"/>
    <row r="26" spans="2:28" x14ac:dyDescent="0.25">
      <c r="B26" s="265" t="s">
        <v>21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205"/>
      <c r="L26" s="259" t="str">
        <f>F26</f>
        <v>cinema_track</v>
      </c>
      <c r="M26" s="260"/>
      <c r="N26" s="261"/>
      <c r="O26" s="149"/>
      <c r="P26" s="205"/>
      <c r="U26" s="206"/>
      <c r="V26" s="206"/>
      <c r="X26" s="266"/>
      <c r="Y26" s="257"/>
      <c r="Z26" s="257"/>
    </row>
    <row r="27" spans="2:28" x14ac:dyDescent="0.25">
      <c r="B27" s="262" t="s">
        <v>47</v>
      </c>
      <c r="C27" s="257"/>
      <c r="D27" s="61" t="s">
        <v>48</v>
      </c>
      <c r="E27" s="216"/>
      <c r="F27" s="262" t="s">
        <v>47</v>
      </c>
      <c r="G27" s="257"/>
      <c r="H27" s="61" t="s">
        <v>48</v>
      </c>
      <c r="I27" s="9"/>
      <c r="J27" s="203" t="s">
        <v>49</v>
      </c>
      <c r="L27" s="256" t="s">
        <v>50</v>
      </c>
      <c r="M27" s="257"/>
      <c r="N27" s="258"/>
      <c r="O27" s="59"/>
      <c r="P27" s="3"/>
      <c r="R27" s="263"/>
      <c r="S27" s="257"/>
      <c r="T27" s="257"/>
      <c r="U27" s="201"/>
      <c r="V27" s="201"/>
      <c r="X27" s="263"/>
      <c r="Y27" s="257"/>
      <c r="Z27" s="257"/>
    </row>
    <row r="28" spans="2:28" x14ac:dyDescent="0.25">
      <c r="B28" s="145" t="s">
        <v>0</v>
      </c>
      <c r="C28" s="93" t="s">
        <v>51</v>
      </c>
      <c r="D28" s="60" t="s">
        <v>52</v>
      </c>
      <c r="E28" s="216"/>
      <c r="F28" s="145" t="s">
        <v>0</v>
      </c>
      <c r="G28" s="93" t="s">
        <v>51</v>
      </c>
      <c r="H28" s="60" t="s">
        <v>52</v>
      </c>
      <c r="I28" s="9"/>
      <c r="J28" s="64"/>
      <c r="L28" s="146" t="str">
        <f>CONCATENATE(B$2," ",L26)</f>
        <v>MPEG151-octree cinema_track</v>
      </c>
      <c r="M28" s="147" t="str">
        <f>CONCATENATE(F$2," ",L26)</f>
        <v>MPEG151-修改上下文 cinema_track</v>
      </c>
      <c r="N28" s="148" t="s">
        <v>53</v>
      </c>
      <c r="O28" s="2"/>
      <c r="P28" s="3" t="s">
        <v>44</v>
      </c>
      <c r="Q28" s="2"/>
      <c r="R28" s="2"/>
      <c r="S28" s="2"/>
      <c r="T28" s="2"/>
      <c r="U28" s="2"/>
      <c r="V28" s="2"/>
      <c r="X28" s="149"/>
      <c r="Y28" s="149"/>
      <c r="Z28" s="149"/>
    </row>
    <row r="29" spans="2:28" x14ac:dyDescent="0.25">
      <c r="B29" s="86" t="str">
        <f>B26</f>
        <v>cinema_track</v>
      </c>
      <c r="C29" s="93" t="s">
        <v>54</v>
      </c>
      <c r="D29" s="217">
        <f ca="1">0.000001*INDIRECT($B29&amp;"!E5")</f>
        <v>3.4193579999999999</v>
      </c>
      <c r="E29" s="216"/>
      <c r="F29" s="86" t="str">
        <f>F26</f>
        <v>cinema_track</v>
      </c>
      <c r="G29" s="93" t="s">
        <v>54</v>
      </c>
      <c r="H29" s="217">
        <f ca="1">0.000001*INDIRECT($B29&amp;"!AC5")</f>
        <v>3.4174319999999998</v>
      </c>
      <c r="I29" s="9"/>
      <c r="J29" s="218">
        <f ca="1">H29/D29-1</f>
        <v>-5.6326363019021386E-4</v>
      </c>
      <c r="L29" s="65">
        <f ca="1">INDIRECT($B29&amp;"!"&amp;L$3&amp;"5")</f>
        <v>29.842019047619051</v>
      </c>
      <c r="M29" s="66">
        <f ca="1">INDIRECT($B29&amp;"!"&amp;M$3&amp;"5")</f>
        <v>29.84202256</v>
      </c>
      <c r="N29" s="67">
        <f ca="1">M29-L29</f>
        <v>3.5123809496440117E-6</v>
      </c>
      <c r="O29" s="216"/>
      <c r="P29" s="218">
        <f ca="1">bdRateExtend(D29:D33,L29:L33,H29:H33,M29:M33)</f>
        <v>-3.2738559771983144E-4</v>
      </c>
      <c r="Q29" s="216"/>
      <c r="R29" s="9"/>
      <c r="S29" s="9"/>
      <c r="T29" s="9"/>
      <c r="U29" s="9"/>
      <c r="V29" s="219"/>
      <c r="X29" s="6"/>
      <c r="Y29" s="6"/>
      <c r="Z29" s="56"/>
      <c r="AB29" s="220"/>
    </row>
    <row r="30" spans="2:28" x14ac:dyDescent="0.25">
      <c r="B30" s="86" t="str">
        <f>B29</f>
        <v>cinema_track</v>
      </c>
      <c r="C30" s="93" t="s">
        <v>55</v>
      </c>
      <c r="D30" s="217">
        <f ca="1">0.000001*INDIRECT($B30&amp;"!E6")</f>
        <v>4.9536699999999998</v>
      </c>
      <c r="E30" s="216"/>
      <c r="F30" s="86" t="str">
        <f>F29</f>
        <v>cinema_track</v>
      </c>
      <c r="G30" s="93" t="s">
        <v>55</v>
      </c>
      <c r="H30" s="217">
        <f ca="1">0.000001*INDIRECT($B30&amp;"!AC6")</f>
        <v>4.9517439999999997</v>
      </c>
      <c r="I30" s="9"/>
      <c r="J30" s="218">
        <f ca="1">H30/D30-1</f>
        <v>-3.8880264531149233E-4</v>
      </c>
      <c r="L30" s="65">
        <f ca="1">INDIRECT($B30&amp;"!"&amp;L$3&amp;"6")</f>
        <v>32.659209523809523</v>
      </c>
      <c r="M30" s="66">
        <f ca="1">INDIRECT($B30&amp;"!"&amp;M$3&amp;"6")</f>
        <v>32.659213770000001</v>
      </c>
      <c r="N30" s="67">
        <f ca="1">M30-L30</f>
        <v>4.2461904783408499E-6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6"/>
    </row>
    <row r="31" spans="2:28" x14ac:dyDescent="0.25">
      <c r="B31" s="86" t="str">
        <f>B30</f>
        <v>cinema_track</v>
      </c>
      <c r="C31" s="93" t="s">
        <v>56</v>
      </c>
      <c r="D31" s="217">
        <f ca="1">0.000001*INDIRECT($B31&amp;"!E7")</f>
        <v>7.4311939999999996</v>
      </c>
      <c r="E31" s="216"/>
      <c r="F31" s="86" t="str">
        <f>F30</f>
        <v>cinema_track</v>
      </c>
      <c r="G31" s="93" t="s">
        <v>56</v>
      </c>
      <c r="H31" s="217">
        <f ca="1">0.000001*INDIRECT($B31&amp;"!AC7")</f>
        <v>7.4292679999999995</v>
      </c>
      <c r="I31" s="9"/>
      <c r="J31" s="218">
        <f ca="1">H31/D31-1</f>
        <v>-2.59177731061766E-4</v>
      </c>
      <c r="L31" s="65">
        <f ca="1">INDIRECT($B31&amp;"!"&amp;L$3&amp;"7")</f>
        <v>35.404100000000007</v>
      </c>
      <c r="M31" s="66">
        <f ca="1">INDIRECT($B31&amp;"!"&amp;M$3&amp;"7")</f>
        <v>35.404095179999999</v>
      </c>
      <c r="N31" s="67">
        <f ca="1">M31-L31</f>
        <v>-4.8200000080100835E-6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6"/>
    </row>
    <row r="32" spans="2:28" x14ac:dyDescent="0.25">
      <c r="B32" s="86" t="str">
        <f>B31</f>
        <v>cinema_track</v>
      </c>
      <c r="C32" s="93" t="s">
        <v>57</v>
      </c>
      <c r="D32" s="217">
        <f ca="1">0.000001*INDIRECT($B32&amp;"!E8")</f>
        <v>10.795601999999999</v>
      </c>
      <c r="E32" s="216"/>
      <c r="F32" s="86" t="str">
        <f>F31</f>
        <v>cinema_track</v>
      </c>
      <c r="G32" s="93" t="s">
        <v>57</v>
      </c>
      <c r="H32" s="217">
        <f ca="1">0.000001*INDIRECT($B32&amp;"!AC8")</f>
        <v>10.793676</v>
      </c>
      <c r="I32" s="9"/>
      <c r="J32" s="218">
        <f ca="1">H32/D32-1</f>
        <v>-1.7840598421459131E-4</v>
      </c>
      <c r="L32" s="65">
        <f ca="1">INDIRECT($B32&amp;"!"&amp;L$3&amp;"8")</f>
        <v>37.646438095238103</v>
      </c>
      <c r="M32" s="66">
        <f ca="1">INDIRECT($B32&amp;"!"&amp;M$3&amp;"8")</f>
        <v>37.646431530000001</v>
      </c>
      <c r="N32" s="67">
        <f ca="1">M32-L32</f>
        <v>-6.565238102496096E-6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6"/>
    </row>
    <row r="33" spans="2:28" ht="16.5" customHeight="1" thickBot="1" x14ac:dyDescent="0.3">
      <c r="B33" s="86" t="str">
        <f>B32</f>
        <v>cinema_track</v>
      </c>
      <c r="C33" s="93" t="s">
        <v>58</v>
      </c>
      <c r="D33" s="217">
        <f ca="1">0.000001*INDIRECT($B33&amp;"!E9")</f>
        <v>13.983369</v>
      </c>
      <c r="E33" s="216"/>
      <c r="F33" s="86" t="str">
        <f>F32</f>
        <v>cinema_track</v>
      </c>
      <c r="G33" s="93" t="s">
        <v>58</v>
      </c>
      <c r="H33" s="217">
        <f ca="1">0.000001*INDIRECT($B33&amp;"!AC9")</f>
        <v>13.981442999999999</v>
      </c>
      <c r="I33" s="9"/>
      <c r="J33" s="218">
        <f ca="1">H33/D33-1</f>
        <v>-1.377350479703221E-4</v>
      </c>
      <c r="L33" s="65">
        <f ca="1">INDIRECT($B33&amp;"!"&amp;L$3&amp;"9")</f>
        <v>38.519909523809531</v>
      </c>
      <c r="M33" s="66">
        <f ca="1">INDIRECT($B33&amp;"!"&amp;M$3&amp;"9")</f>
        <v>38.519917839999998</v>
      </c>
      <c r="N33" s="67">
        <f ca="1">M33-L33</f>
        <v>8.3161904669282194E-6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6"/>
      <c r="AB33" s="220"/>
    </row>
    <row r="34" spans="2:28" ht="16.5" customHeight="1" x14ac:dyDescent="0.25">
      <c r="B34" s="80"/>
      <c r="C34" s="81"/>
      <c r="D34" s="222"/>
      <c r="F34" s="80"/>
      <c r="G34" s="81"/>
      <c r="H34" s="222"/>
      <c r="J34" s="69">
        <f ca="1">MIN(D29:D33,H29:H33)</f>
        <v>3.4174319999999998</v>
      </c>
      <c r="L34" s="70"/>
      <c r="M34" s="71"/>
      <c r="N34" s="72"/>
      <c r="O34" s="216"/>
      <c r="P34" s="205"/>
      <c r="Q34" s="216"/>
      <c r="R34" s="9"/>
      <c r="S34" s="9"/>
      <c r="T34" s="9"/>
      <c r="U34" s="9"/>
      <c r="V34" s="57"/>
      <c r="X34" s="6"/>
      <c r="Y34" s="6"/>
      <c r="Z34" s="56"/>
    </row>
    <row r="35" spans="2:28" ht="16.5" customHeight="1" thickBot="1" x14ac:dyDescent="0.3">
      <c r="B35" s="62"/>
      <c r="C35" s="63"/>
      <c r="D35" s="223"/>
      <c r="E35" s="216"/>
      <c r="F35" s="62"/>
      <c r="G35" s="63"/>
      <c r="H35" s="223"/>
      <c r="I35" s="9"/>
      <c r="J35" s="73">
        <f ca="1">MAX(D29:D33,H29:H33)</f>
        <v>13.983369</v>
      </c>
      <c r="L35" s="74">
        <f>L34</f>
        <v>0</v>
      </c>
      <c r="M35" s="75">
        <f>M34</f>
        <v>0</v>
      </c>
      <c r="N35" s="68"/>
      <c r="O35" s="216"/>
      <c r="P35" s="5"/>
      <c r="Q35" s="216"/>
      <c r="R35" s="9"/>
      <c r="S35" s="9"/>
      <c r="T35" s="9"/>
      <c r="U35" s="9"/>
      <c r="V35" s="57"/>
      <c r="X35" s="58"/>
      <c r="Y35" s="58"/>
      <c r="Z35" s="56"/>
    </row>
    <row r="36" spans="2:28" ht="16.5" customHeight="1" thickBot="1" x14ac:dyDescent="0.3"/>
    <row r="37" spans="2:28" x14ac:dyDescent="0.25">
      <c r="B37" s="265" t="s">
        <v>24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205"/>
      <c r="L37" s="259" t="str">
        <f>F37</f>
        <v>ManWithFruit</v>
      </c>
      <c r="M37" s="260"/>
      <c r="N37" s="261"/>
      <c r="O37" s="149"/>
      <c r="P37" s="205"/>
      <c r="U37" s="206"/>
      <c r="V37" s="206"/>
      <c r="X37" s="266"/>
      <c r="Y37" s="257"/>
      <c r="Z37" s="257"/>
    </row>
    <row r="38" spans="2:28" x14ac:dyDescent="0.25">
      <c r="B38" s="262" t="s">
        <v>47</v>
      </c>
      <c r="C38" s="257"/>
      <c r="D38" s="61" t="s">
        <v>48</v>
      </c>
      <c r="E38" s="216"/>
      <c r="F38" s="262" t="s">
        <v>47</v>
      </c>
      <c r="G38" s="257"/>
      <c r="H38" s="61" t="s">
        <v>48</v>
      </c>
      <c r="I38" s="9"/>
      <c r="J38" s="203" t="s">
        <v>49</v>
      </c>
      <c r="L38" s="256" t="s">
        <v>50</v>
      </c>
      <c r="M38" s="257"/>
      <c r="N38" s="258"/>
      <c r="O38" s="59"/>
      <c r="P38" s="3"/>
      <c r="R38" s="263"/>
      <c r="S38" s="257"/>
      <c r="T38" s="257"/>
      <c r="U38" s="201"/>
      <c r="V38" s="201"/>
      <c r="X38" s="263"/>
      <c r="Y38" s="257"/>
      <c r="Z38" s="257"/>
    </row>
    <row r="39" spans="2:28" x14ac:dyDescent="0.25">
      <c r="B39" s="145" t="s">
        <v>0</v>
      </c>
      <c r="C39" s="93" t="s">
        <v>51</v>
      </c>
      <c r="D39" s="60" t="s">
        <v>52</v>
      </c>
      <c r="E39" s="216"/>
      <c r="F39" s="145" t="s">
        <v>0</v>
      </c>
      <c r="G39" s="93" t="s">
        <v>51</v>
      </c>
      <c r="H39" s="60" t="s">
        <v>52</v>
      </c>
      <c r="I39" s="9"/>
      <c r="J39" s="64"/>
      <c r="L39" s="146" t="str">
        <f>CONCATENATE(B$2," ",L37)</f>
        <v>MPEG151-octree ManWithFruit</v>
      </c>
      <c r="M39" s="147" t="str">
        <f>CONCATENATE(F$2," ",L37)</f>
        <v>MPEG151-修改上下文 ManWithFruit</v>
      </c>
      <c r="N39" s="148" t="s">
        <v>53</v>
      </c>
      <c r="O39" s="2"/>
      <c r="P39" s="3" t="s">
        <v>44</v>
      </c>
      <c r="Q39" s="2"/>
      <c r="R39" s="2"/>
      <c r="S39" s="2"/>
      <c r="T39" s="2"/>
      <c r="U39" s="2"/>
      <c r="V39" s="2"/>
      <c r="X39" s="149"/>
      <c r="Y39" s="149"/>
      <c r="Z39" s="149"/>
    </row>
    <row r="40" spans="2:28" x14ac:dyDescent="0.25">
      <c r="B40" s="86" t="str">
        <f>B37</f>
        <v>ManWithFruit</v>
      </c>
      <c r="C40" s="93" t="s">
        <v>54</v>
      </c>
      <c r="D40" s="217">
        <f ca="1">0.000001*INDIRECT($B40&amp;"!E5")</f>
        <v>0.356817</v>
      </c>
      <c r="E40" s="216"/>
      <c r="F40" s="86" t="str">
        <f>F37</f>
        <v>ManWithFruit</v>
      </c>
      <c r="G40" s="93" t="s">
        <v>54</v>
      </c>
      <c r="H40" s="217">
        <f ca="1">0.000001*INDIRECT($B40&amp;"!AC5")</f>
        <v>0.35676799999999997</v>
      </c>
      <c r="I40" s="9"/>
      <c r="J40" s="218">
        <f ca="1">H40/D40-1</f>
        <v>-1.3732529559973283E-4</v>
      </c>
      <c r="L40" s="65">
        <f ca="1">INDIRECT($B40&amp;"!"&amp;L$3&amp;"5")</f>
        <v>41.196904166666663</v>
      </c>
      <c r="M40" s="66">
        <f ca="1">INDIRECT($B40&amp;"!"&amp;M$3&amp;"5")</f>
        <v>41.196904689999997</v>
      </c>
      <c r="N40" s="67">
        <f ca="1">M40-L40</f>
        <v>5.2333333400156334E-7</v>
      </c>
      <c r="O40" s="216"/>
      <c r="P40" s="218">
        <f ca="1">bdRateExtend(D40:D44,L40:L44,H40:H44,M40:M44)</f>
        <v>-1.0122842079629546E-4</v>
      </c>
      <c r="Q40" s="216"/>
      <c r="R40" s="9"/>
      <c r="S40" s="9"/>
      <c r="T40" s="9"/>
      <c r="U40" s="9"/>
      <c r="V40" s="219"/>
      <c r="X40" s="6"/>
      <c r="Y40" s="6"/>
      <c r="Z40" s="56"/>
      <c r="AB40" s="220"/>
    </row>
    <row r="41" spans="2:28" x14ac:dyDescent="0.25">
      <c r="B41" s="86" t="str">
        <f>B40</f>
        <v>ManWithFruit</v>
      </c>
      <c r="C41" s="93" t="s">
        <v>55</v>
      </c>
      <c r="D41" s="217">
        <f ca="1">0.000001*INDIRECT($B41&amp;"!E6")</f>
        <v>0.45023299999999999</v>
      </c>
      <c r="E41" s="216"/>
      <c r="F41" s="86" t="str">
        <f>F40</f>
        <v>ManWithFruit</v>
      </c>
      <c r="G41" s="93" t="s">
        <v>55</v>
      </c>
      <c r="H41" s="217">
        <f ca="1">0.000001*INDIRECT($B41&amp;"!AC6")</f>
        <v>0.45018399999999997</v>
      </c>
      <c r="I41" s="9"/>
      <c r="J41" s="218">
        <f ca="1">H41/D41-1</f>
        <v>-1.0883253781934776E-4</v>
      </c>
      <c r="L41" s="65">
        <f ca="1">INDIRECT($B41&amp;"!"&amp;L$3&amp;"6")</f>
        <v>43.715716666666658</v>
      </c>
      <c r="M41" s="66">
        <f ca="1">INDIRECT($B41&amp;"!"&amp;M$3&amp;"6")</f>
        <v>43.715718270000004</v>
      </c>
      <c r="N41" s="67">
        <f ca="1">M41-L41</f>
        <v>1.6033333452014631E-6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6"/>
    </row>
    <row r="42" spans="2:28" x14ac:dyDescent="0.25">
      <c r="B42" s="86" t="str">
        <f>B41</f>
        <v>ManWithFruit</v>
      </c>
      <c r="C42" s="93" t="s">
        <v>56</v>
      </c>
      <c r="D42" s="217">
        <f ca="1">0.000001*INDIRECT($B42&amp;"!E7")</f>
        <v>0.573882</v>
      </c>
      <c r="E42" s="216"/>
      <c r="F42" s="86" t="str">
        <f>F41</f>
        <v>ManWithFruit</v>
      </c>
      <c r="G42" s="93" t="s">
        <v>56</v>
      </c>
      <c r="H42" s="217">
        <f ca="1">0.000001*INDIRECT($B42&amp;"!AC7")</f>
        <v>0.57383299999999993</v>
      </c>
      <c r="I42" s="9"/>
      <c r="J42" s="218">
        <f ca="1">H42/D42-1</f>
        <v>-8.5383406345007629E-5</v>
      </c>
      <c r="L42" s="65">
        <f ca="1">INDIRECT($B42&amp;"!"&amp;L$3&amp;"7")</f>
        <v>44.558295833333339</v>
      </c>
      <c r="M42" s="66">
        <f ca="1">INDIRECT($B42&amp;"!"&amp;M$3&amp;"7")</f>
        <v>44.558309770000001</v>
      </c>
      <c r="N42" s="67">
        <f ca="1">M42-L42</f>
        <v>1.3936666661606978E-5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6"/>
    </row>
    <row r="43" spans="2:28" x14ac:dyDescent="0.25">
      <c r="B43" s="86" t="str">
        <f>B42</f>
        <v>ManWithFruit</v>
      </c>
      <c r="C43" s="93" t="s">
        <v>57</v>
      </c>
      <c r="D43" s="217">
        <f ca="1">0.000001*INDIRECT($B43&amp;"!E8")</f>
        <v>0.79003299999999999</v>
      </c>
      <c r="E43" s="216"/>
      <c r="F43" s="86" t="str">
        <f>F42</f>
        <v>ManWithFruit</v>
      </c>
      <c r="G43" s="93" t="s">
        <v>57</v>
      </c>
      <c r="H43" s="217">
        <f ca="1">0.000001*INDIRECT($B43&amp;"!AC8")</f>
        <v>0.78998400000000002</v>
      </c>
      <c r="I43" s="9"/>
      <c r="J43" s="218">
        <f ca="1">H43/D43-1</f>
        <v>-6.2022725632937536E-5</v>
      </c>
      <c r="L43" s="65">
        <f ca="1">INDIRECT($B43&amp;"!"&amp;L$3&amp;"8")</f>
        <v>45.872974999999997</v>
      </c>
      <c r="M43" s="66">
        <f ca="1">INDIRECT($B43&amp;"!"&amp;M$3&amp;"8")</f>
        <v>45.872975250000003</v>
      </c>
      <c r="N43" s="67">
        <f ca="1">M43-L43</f>
        <v>2.5000000647423803E-7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6"/>
    </row>
    <row r="44" spans="2:28" ht="16.5" customHeight="1" thickBot="1" x14ac:dyDescent="0.3">
      <c r="B44" s="86" t="str">
        <f>B43</f>
        <v>ManWithFruit</v>
      </c>
      <c r="C44" s="93" t="s">
        <v>58</v>
      </c>
      <c r="D44" s="217">
        <f ca="1">0.000001*INDIRECT($B44&amp;"!E9")</f>
        <v>1.0632569999999999</v>
      </c>
      <c r="E44" s="216"/>
      <c r="F44" s="86" t="str">
        <f>F43</f>
        <v>ManWithFruit</v>
      </c>
      <c r="G44" s="93" t="s">
        <v>58</v>
      </c>
      <c r="H44" s="217">
        <f ca="1">0.000001*INDIRECT($B44&amp;"!AC9")</f>
        <v>1.0632079999999999</v>
      </c>
      <c r="I44" s="9"/>
      <c r="J44" s="218">
        <f ca="1">H44/D44-1</f>
        <v>-4.6084812984958923E-5</v>
      </c>
      <c r="L44" s="65">
        <f ca="1">INDIRECT($B44&amp;"!"&amp;L$3&amp;"9")</f>
        <v>46.50705</v>
      </c>
      <c r="M44" s="66">
        <f ca="1">INDIRECT($B44&amp;"!"&amp;M$3&amp;"9")</f>
        <v>46.507054789999998</v>
      </c>
      <c r="N44" s="67">
        <f ca="1">M44-L44</f>
        <v>4.7899999984224451E-6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6"/>
      <c r="AB44" s="220"/>
    </row>
    <row r="45" spans="2:28" ht="16.5" customHeight="1" x14ac:dyDescent="0.25">
      <c r="B45" s="80"/>
      <c r="C45" s="81"/>
      <c r="D45" s="222"/>
      <c r="F45" s="80"/>
      <c r="G45" s="81"/>
      <c r="H45" s="222"/>
      <c r="J45" s="69">
        <f ca="1">MIN(D40:D44,H40:H44)</f>
        <v>0.35676799999999997</v>
      </c>
      <c r="L45" s="70"/>
      <c r="M45" s="71"/>
      <c r="N45" s="72"/>
      <c r="O45" s="216"/>
      <c r="P45" s="205"/>
      <c r="Q45" s="216"/>
      <c r="R45" s="9"/>
      <c r="S45" s="9"/>
      <c r="T45" s="9"/>
      <c r="U45" s="9"/>
      <c r="V45" s="57"/>
      <c r="X45" s="6"/>
      <c r="Y45" s="6"/>
      <c r="Z45" s="56"/>
    </row>
    <row r="46" spans="2:28" ht="16.5" customHeight="1" thickBot="1" x14ac:dyDescent="0.3">
      <c r="B46" s="62"/>
      <c r="C46" s="63"/>
      <c r="D46" s="223"/>
      <c r="E46" s="216"/>
      <c r="F46" s="62"/>
      <c r="G46" s="63"/>
      <c r="H46" s="223"/>
      <c r="I46" s="9"/>
      <c r="J46" s="73">
        <f ca="1">MAX(D40:D44,H40:H44)</f>
        <v>1.0632569999999999</v>
      </c>
      <c r="L46" s="74">
        <f>L45</f>
        <v>0</v>
      </c>
      <c r="M46" s="75">
        <f>M45</f>
        <v>0</v>
      </c>
      <c r="N46" s="68"/>
      <c r="O46" s="216"/>
      <c r="P46" s="5"/>
      <c r="Q46" s="216"/>
      <c r="R46" s="9"/>
      <c r="S46" s="9"/>
      <c r="T46" s="9"/>
      <c r="U46" s="9"/>
      <c r="V46" s="57"/>
      <c r="X46" s="58"/>
      <c r="Y46" s="58"/>
      <c r="Z46" s="56"/>
    </row>
    <row r="47" spans="2:28" ht="16.5" customHeight="1" thickBot="1" x14ac:dyDescent="0.3"/>
    <row r="48" spans="2:28" x14ac:dyDescent="0.25">
      <c r="B48" s="265" t="s">
        <v>25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205"/>
      <c r="L48" s="259" t="str">
        <f>F48</f>
        <v>LEGO_Ferrari</v>
      </c>
      <c r="M48" s="260"/>
      <c r="N48" s="261"/>
      <c r="O48" s="149"/>
      <c r="P48" s="205"/>
      <c r="U48" s="206"/>
      <c r="V48" s="206"/>
      <c r="X48" s="266"/>
      <c r="Y48" s="257"/>
      <c r="Z48" s="257"/>
    </row>
    <row r="49" spans="2:28" x14ac:dyDescent="0.25">
      <c r="B49" s="262" t="s">
        <v>47</v>
      </c>
      <c r="C49" s="257"/>
      <c r="D49" s="61" t="s">
        <v>48</v>
      </c>
      <c r="E49" s="216"/>
      <c r="F49" s="262" t="s">
        <v>47</v>
      </c>
      <c r="G49" s="257"/>
      <c r="H49" s="61" t="s">
        <v>48</v>
      </c>
      <c r="I49" s="9"/>
      <c r="J49" s="203" t="s">
        <v>49</v>
      </c>
      <c r="L49" s="256" t="s">
        <v>50</v>
      </c>
      <c r="M49" s="257"/>
      <c r="N49" s="258"/>
      <c r="O49" s="59"/>
      <c r="P49" s="3"/>
      <c r="R49" s="263"/>
      <c r="S49" s="257"/>
      <c r="T49" s="257"/>
      <c r="U49" s="201"/>
      <c r="V49" s="201"/>
      <c r="X49" s="263"/>
      <c r="Y49" s="257"/>
      <c r="Z49" s="257"/>
    </row>
    <row r="50" spans="2:28" x14ac:dyDescent="0.25">
      <c r="B50" s="145" t="s">
        <v>0</v>
      </c>
      <c r="C50" s="93" t="s">
        <v>51</v>
      </c>
      <c r="D50" s="60" t="s">
        <v>52</v>
      </c>
      <c r="E50" s="216"/>
      <c r="F50" s="145" t="s">
        <v>0</v>
      </c>
      <c r="G50" s="93" t="s">
        <v>51</v>
      </c>
      <c r="H50" s="60" t="s">
        <v>52</v>
      </c>
      <c r="I50" s="9"/>
      <c r="J50" s="64"/>
      <c r="L50" s="146" t="str">
        <f>CONCATENATE(B$2," ",L48)</f>
        <v>MPEG151-octree LEGO_Ferrari</v>
      </c>
      <c r="M50" s="147" t="str">
        <f>CONCATENATE(F$2," ",L48)</f>
        <v>MPEG151-修改上下文 LEGO_Ferrari</v>
      </c>
      <c r="N50" s="148" t="s">
        <v>53</v>
      </c>
      <c r="O50" s="2"/>
      <c r="P50" s="3" t="s">
        <v>44</v>
      </c>
      <c r="Q50" s="2"/>
      <c r="R50" s="2"/>
      <c r="S50" s="2"/>
      <c r="T50" s="2"/>
      <c r="U50" s="2"/>
      <c r="V50" s="2"/>
      <c r="X50" s="149"/>
      <c r="Y50" s="149"/>
      <c r="Z50" s="149"/>
    </row>
    <row r="51" spans="2:28" x14ac:dyDescent="0.25">
      <c r="B51" s="86" t="str">
        <f>B48</f>
        <v>LEGO_Ferrari</v>
      </c>
      <c r="C51" s="93" t="s">
        <v>54</v>
      </c>
      <c r="D51" s="217" t="e">
        <f ca="1">0.000001*INDIRECT($B51&amp;"!E5")</f>
        <v>#VALUE!</v>
      </c>
      <c r="E51" s="216"/>
      <c r="F51" s="86" t="str">
        <f>F48</f>
        <v>LEGO_Ferrari</v>
      </c>
      <c r="G51" s="93" t="s">
        <v>54</v>
      </c>
      <c r="H51" s="217" t="e">
        <f ca="1">0.000001*INDIRECT($B51&amp;"!AC5")</f>
        <v>#VALUE!</v>
      </c>
      <c r="I51" s="9"/>
      <c r="J51" s="218" t="e">
        <f ca="1">H51/D51-1</f>
        <v>#VALUE!</v>
      </c>
      <c r="L51" s="65" t="str">
        <f ca="1">INDIRECT($B51&amp;"!"&amp;L$3&amp;"5")</f>
        <v/>
      </c>
      <c r="M51" s="66" t="str">
        <f ca="1">INDIRECT($B51&amp;"!"&amp;M$3&amp;"5")</f>
        <v/>
      </c>
      <c r="N51" s="67" t="e">
        <f ca="1">M51-L51</f>
        <v>#VALUE!</v>
      </c>
      <c r="O51" s="216"/>
      <c r="P51" s="218" t="e">
        <f ca="1">bdRateExtend(D51:D55,L51:L55,H51:H55,M51:M55)</f>
        <v>#VALUE!</v>
      </c>
      <c r="Q51" s="216"/>
      <c r="R51" s="9"/>
      <c r="S51" s="9"/>
      <c r="T51" s="9"/>
      <c r="U51" s="9"/>
      <c r="V51" s="219"/>
      <c r="X51" s="6"/>
      <c r="Y51" s="6"/>
      <c r="Z51" s="56"/>
      <c r="AB51" s="220"/>
    </row>
    <row r="52" spans="2:28" x14ac:dyDescent="0.25">
      <c r="B52" s="86" t="str">
        <f>B51</f>
        <v>LEGO_Ferrari</v>
      </c>
      <c r="C52" s="93" t="s">
        <v>55</v>
      </c>
      <c r="D52" s="217" t="e">
        <f ca="1">0.000001*INDIRECT($B52&amp;"!E6")</f>
        <v>#VALUE!</v>
      </c>
      <c r="E52" s="216"/>
      <c r="F52" s="86" t="str">
        <f>F51</f>
        <v>LEGO_Ferrari</v>
      </c>
      <c r="G52" s="93" t="s">
        <v>55</v>
      </c>
      <c r="H52" s="217" t="e">
        <f ca="1">0.000001*INDIRECT($B52&amp;"!AC6")</f>
        <v>#VALUE!</v>
      </c>
      <c r="I52" s="9"/>
      <c r="J52" s="218" t="e">
        <f ca="1">H52/D52-1</f>
        <v>#VALUE!</v>
      </c>
      <c r="L52" s="65" t="str">
        <f ca="1">INDIRECT($B52&amp;"!"&amp;L$3&amp;"6")</f>
        <v/>
      </c>
      <c r="M52" s="66" t="str">
        <f ca="1">INDIRECT($B52&amp;"!"&amp;M$3&amp;"6")</f>
        <v/>
      </c>
      <c r="N52" s="67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6"/>
    </row>
    <row r="53" spans="2:28" x14ac:dyDescent="0.25">
      <c r="B53" s="86" t="str">
        <f>B52</f>
        <v>LEGO_Ferrari</v>
      </c>
      <c r="C53" s="93" t="s">
        <v>56</v>
      </c>
      <c r="D53" s="217" t="e">
        <f ca="1">0.000001*INDIRECT($B53&amp;"!E7")</f>
        <v>#VALUE!</v>
      </c>
      <c r="E53" s="216"/>
      <c r="F53" s="86" t="str">
        <f>F52</f>
        <v>LEGO_Ferrari</v>
      </c>
      <c r="G53" s="93" t="s">
        <v>56</v>
      </c>
      <c r="H53" s="217" t="e">
        <f ca="1">0.000001*INDIRECT($B53&amp;"!AC7")</f>
        <v>#VALUE!</v>
      </c>
      <c r="I53" s="9"/>
      <c r="J53" s="218" t="e">
        <f ca="1">H53/D53-1</f>
        <v>#VALUE!</v>
      </c>
      <c r="L53" s="65" t="str">
        <f ca="1">INDIRECT($B53&amp;"!"&amp;L$3&amp;"7")</f>
        <v/>
      </c>
      <c r="M53" s="66" t="str">
        <f ca="1">INDIRECT($B53&amp;"!"&amp;M$3&amp;"7")</f>
        <v/>
      </c>
      <c r="N53" s="67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6"/>
    </row>
    <row r="54" spans="2:28" x14ac:dyDescent="0.25">
      <c r="B54" s="86" t="str">
        <f>B53</f>
        <v>LEGO_Ferrari</v>
      </c>
      <c r="C54" s="93" t="s">
        <v>57</v>
      </c>
      <c r="D54" s="217" t="e">
        <f ca="1">0.000001*INDIRECT($B54&amp;"!E8")</f>
        <v>#VALUE!</v>
      </c>
      <c r="E54" s="216"/>
      <c r="F54" s="86" t="str">
        <f>F53</f>
        <v>LEGO_Ferrari</v>
      </c>
      <c r="G54" s="93" t="s">
        <v>57</v>
      </c>
      <c r="H54" s="217" t="e">
        <f ca="1">0.000001*INDIRECT($B54&amp;"!AC8")</f>
        <v>#VALUE!</v>
      </c>
      <c r="I54" s="9"/>
      <c r="J54" s="218" t="e">
        <f ca="1">H54/D54-1</f>
        <v>#VALUE!</v>
      </c>
      <c r="L54" s="65" t="str">
        <f ca="1">INDIRECT($B54&amp;"!"&amp;L$3&amp;"8")</f>
        <v/>
      </c>
      <c r="M54" s="66" t="str">
        <f ca="1">INDIRECT($B54&amp;"!"&amp;M$3&amp;"8")</f>
        <v/>
      </c>
      <c r="N54" s="67" t="e">
        <f ca="1">M54-L54</f>
        <v>#VALUE!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6"/>
    </row>
    <row r="55" spans="2:28" ht="16.5" customHeight="1" thickBot="1" x14ac:dyDescent="0.3">
      <c r="B55" s="86" t="str">
        <f>B54</f>
        <v>LEGO_Ferrari</v>
      </c>
      <c r="C55" s="93" t="s">
        <v>58</v>
      </c>
      <c r="D55" s="217" t="e">
        <f ca="1">0.000001*INDIRECT($B55&amp;"!E9")</f>
        <v>#VALUE!</v>
      </c>
      <c r="E55" s="216"/>
      <c r="F55" s="86" t="str">
        <f>F54</f>
        <v>LEGO_Ferrari</v>
      </c>
      <c r="G55" s="93" t="s">
        <v>58</v>
      </c>
      <c r="H55" s="217" t="e">
        <f ca="1">0.000001*INDIRECT($B55&amp;"!AC9")</f>
        <v>#VALUE!</v>
      </c>
      <c r="I55" s="9"/>
      <c r="J55" s="218" t="e">
        <f ca="1">H55/D55-1</f>
        <v>#VALUE!</v>
      </c>
      <c r="L55" s="65" t="str">
        <f ca="1">INDIRECT($B55&amp;"!"&amp;L$3&amp;"9")</f>
        <v/>
      </c>
      <c r="M55" s="66" t="str">
        <f ca="1">INDIRECT($B55&amp;"!"&amp;M$3&amp;"9")</f>
        <v/>
      </c>
      <c r="N55" s="67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6"/>
      <c r="AB55" s="220"/>
    </row>
    <row r="56" spans="2:28" ht="16.5" customHeight="1" x14ac:dyDescent="0.25">
      <c r="B56" s="80"/>
      <c r="C56" s="81"/>
      <c r="D56" s="222"/>
      <c r="F56" s="80"/>
      <c r="G56" s="81"/>
      <c r="H56" s="222"/>
      <c r="J56" s="69" t="e">
        <f ca="1">MIN(D51:D55,H51:H55)</f>
        <v>#VALUE!</v>
      </c>
      <c r="L56" s="70"/>
      <c r="M56" s="71"/>
      <c r="N56" s="72"/>
      <c r="O56" s="216"/>
      <c r="P56" s="205"/>
      <c r="Q56" s="216"/>
      <c r="R56" s="9"/>
      <c r="S56" s="9"/>
      <c r="T56" s="9"/>
      <c r="U56" s="9"/>
      <c r="V56" s="57"/>
      <c r="X56" s="6"/>
      <c r="Y56" s="6"/>
      <c r="Z56" s="56"/>
    </row>
    <row r="57" spans="2:28" ht="16.5" customHeight="1" thickBot="1" x14ac:dyDescent="0.3">
      <c r="B57" s="62"/>
      <c r="C57" s="63"/>
      <c r="D57" s="223"/>
      <c r="E57" s="216"/>
      <c r="F57" s="62"/>
      <c r="G57" s="63"/>
      <c r="H57" s="223"/>
      <c r="I57" s="9"/>
      <c r="J57" s="73" t="e">
        <f ca="1">MAX(D51:D55,H51:H55)</f>
        <v>#VALUE!</v>
      </c>
      <c r="L57" s="74">
        <f>L56</f>
        <v>0</v>
      </c>
      <c r="M57" s="75">
        <f>M56</f>
        <v>0</v>
      </c>
      <c r="N57" s="68"/>
      <c r="O57" s="216"/>
      <c r="P57" s="5"/>
      <c r="Q57" s="216"/>
      <c r="R57" s="9"/>
      <c r="S57" s="9"/>
      <c r="T57" s="9"/>
      <c r="U57" s="9"/>
      <c r="V57" s="57"/>
      <c r="X57" s="58"/>
      <c r="Y57" s="58"/>
      <c r="Z57" s="56"/>
    </row>
    <row r="58" spans="2:28" ht="16.5" customHeight="1" thickBot="1" x14ac:dyDescent="0.3"/>
    <row r="59" spans="2:28" x14ac:dyDescent="0.25">
      <c r="B59" s="265" t="s">
        <v>26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205"/>
      <c r="L59" s="259" t="str">
        <f>F59</f>
        <v>LEGO_Bugatti</v>
      </c>
      <c r="M59" s="260"/>
      <c r="N59" s="261"/>
      <c r="O59" s="149"/>
      <c r="P59" s="205"/>
      <c r="U59" s="206"/>
      <c r="V59" s="206"/>
      <c r="X59" s="266"/>
      <c r="Y59" s="257"/>
      <c r="Z59" s="257"/>
    </row>
    <row r="60" spans="2:28" x14ac:dyDescent="0.25">
      <c r="B60" s="262" t="s">
        <v>47</v>
      </c>
      <c r="C60" s="257"/>
      <c r="D60" s="61" t="s">
        <v>48</v>
      </c>
      <c r="E60" s="216"/>
      <c r="F60" s="262" t="s">
        <v>47</v>
      </c>
      <c r="G60" s="257"/>
      <c r="H60" s="61" t="s">
        <v>48</v>
      </c>
      <c r="I60" s="9"/>
      <c r="J60" s="203" t="s">
        <v>49</v>
      </c>
      <c r="L60" s="256" t="s">
        <v>50</v>
      </c>
      <c r="M60" s="257"/>
      <c r="N60" s="258"/>
      <c r="O60" s="59"/>
      <c r="P60" s="3"/>
      <c r="R60" s="263"/>
      <c r="S60" s="257"/>
      <c r="T60" s="257"/>
      <c r="U60" s="201"/>
      <c r="V60" s="201"/>
      <c r="X60" s="263"/>
      <c r="Y60" s="257"/>
      <c r="Z60" s="257"/>
    </row>
    <row r="61" spans="2:28" x14ac:dyDescent="0.25">
      <c r="B61" s="145" t="s">
        <v>0</v>
      </c>
      <c r="C61" s="93" t="s">
        <v>51</v>
      </c>
      <c r="D61" s="60" t="s">
        <v>52</v>
      </c>
      <c r="E61" s="216"/>
      <c r="F61" s="145" t="s">
        <v>0</v>
      </c>
      <c r="G61" s="93" t="s">
        <v>51</v>
      </c>
      <c r="H61" s="60" t="s">
        <v>52</v>
      </c>
      <c r="I61" s="9"/>
      <c r="J61" s="64"/>
      <c r="L61" s="146" t="str">
        <f>CONCATENATE(B$2," ",L59)</f>
        <v>MPEG151-octree LEGO_Bugatti</v>
      </c>
      <c r="M61" s="147" t="str">
        <f>CONCATENATE(F$2," ",L59)</f>
        <v>MPEG151-修改上下文 LEGO_Bugatti</v>
      </c>
      <c r="N61" s="148" t="s">
        <v>53</v>
      </c>
      <c r="O61" s="2"/>
      <c r="P61" s="3" t="s">
        <v>44</v>
      </c>
      <c r="Q61" s="2"/>
      <c r="R61" s="2"/>
      <c r="S61" s="2"/>
      <c r="T61" s="2"/>
      <c r="U61" s="2"/>
      <c r="V61" s="2"/>
      <c r="X61" s="149"/>
      <c r="Y61" s="149"/>
      <c r="Z61" s="149"/>
    </row>
    <row r="62" spans="2:28" x14ac:dyDescent="0.25">
      <c r="B62" s="86" t="str">
        <f>B59</f>
        <v>LEGO_Bugatti</v>
      </c>
      <c r="C62" s="93" t="s">
        <v>54</v>
      </c>
      <c r="D62" s="217" t="e">
        <f ca="1">0.000001*INDIRECT($B62&amp;"!E5")</f>
        <v>#VALUE!</v>
      </c>
      <c r="E62" s="216"/>
      <c r="F62" s="86" t="str">
        <f>F59</f>
        <v>LEGO_Bugatti</v>
      </c>
      <c r="G62" s="93" t="s">
        <v>54</v>
      </c>
      <c r="H62" s="217" t="e">
        <f ca="1">0.000001*INDIRECT($B62&amp;"!AC5")</f>
        <v>#VALUE!</v>
      </c>
      <c r="I62" s="9"/>
      <c r="J62" s="218" t="e">
        <f ca="1">H62/D62-1</f>
        <v>#VALUE!</v>
      </c>
      <c r="L62" s="65" t="str">
        <f ca="1">INDIRECT($B62&amp;"!"&amp;L$3&amp;"5")</f>
        <v/>
      </c>
      <c r="M62" s="66" t="str">
        <f ca="1">INDIRECT($B62&amp;"!"&amp;M$3&amp;"5")</f>
        <v/>
      </c>
      <c r="N62" s="67" t="e">
        <f ca="1">M62-L62</f>
        <v>#VALUE!</v>
      </c>
      <c r="O62" s="216"/>
      <c r="P62" s="218" t="e">
        <f ca="1">bdRateExtend(D62:D66,L62:L66,H62:H66,M62:M66)</f>
        <v>#VALUE!</v>
      </c>
      <c r="Q62" s="216"/>
      <c r="R62" s="9"/>
      <c r="S62" s="9"/>
      <c r="T62" s="9"/>
      <c r="U62" s="9"/>
      <c r="V62" s="219"/>
      <c r="X62" s="6"/>
      <c r="Y62" s="6"/>
      <c r="Z62" s="56"/>
      <c r="AB62" s="220"/>
    </row>
    <row r="63" spans="2:28" x14ac:dyDescent="0.25">
      <c r="B63" s="86" t="str">
        <f>B62</f>
        <v>LEGO_Bugatti</v>
      </c>
      <c r="C63" s="93" t="s">
        <v>55</v>
      </c>
      <c r="D63" s="217" t="e">
        <f ca="1">0.000001*INDIRECT($B63&amp;"!E6")</f>
        <v>#VALUE!</v>
      </c>
      <c r="E63" s="216"/>
      <c r="F63" s="86" t="str">
        <f>F62</f>
        <v>LEGO_Bugatti</v>
      </c>
      <c r="G63" s="93" t="s">
        <v>55</v>
      </c>
      <c r="H63" s="217" t="e">
        <f ca="1">0.000001*INDIRECT($B63&amp;"!AC6")</f>
        <v>#VALUE!</v>
      </c>
      <c r="I63" s="9"/>
      <c r="J63" s="218" t="e">
        <f ca="1">H63/D63-1</f>
        <v>#VALUE!</v>
      </c>
      <c r="L63" s="65" t="str">
        <f ca="1">INDIRECT($B63&amp;"!"&amp;L$3&amp;"6")</f>
        <v/>
      </c>
      <c r="M63" s="66" t="str">
        <f ca="1">INDIRECT($B63&amp;"!"&amp;M$3&amp;"6")</f>
        <v/>
      </c>
      <c r="N63" s="67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6"/>
    </row>
    <row r="64" spans="2:28" x14ac:dyDescent="0.25">
      <c r="B64" s="86" t="str">
        <f>B63</f>
        <v>LEGO_Bugatti</v>
      </c>
      <c r="C64" s="93" t="s">
        <v>56</v>
      </c>
      <c r="D64" s="217" t="e">
        <f ca="1">0.000001*INDIRECT($B64&amp;"!E7")</f>
        <v>#VALUE!</v>
      </c>
      <c r="E64" s="216"/>
      <c r="F64" s="86" t="str">
        <f>F63</f>
        <v>LEGO_Bugatti</v>
      </c>
      <c r="G64" s="93" t="s">
        <v>56</v>
      </c>
      <c r="H64" s="217" t="e">
        <f ca="1">0.000001*INDIRECT($B64&amp;"!AC7")</f>
        <v>#VALUE!</v>
      </c>
      <c r="I64" s="9"/>
      <c r="J64" s="218" t="e">
        <f ca="1">H64/D64-1</f>
        <v>#VALUE!</v>
      </c>
      <c r="L64" s="65" t="str">
        <f ca="1">INDIRECT($B64&amp;"!"&amp;L$3&amp;"7")</f>
        <v/>
      </c>
      <c r="M64" s="66" t="str">
        <f ca="1">INDIRECT($B64&amp;"!"&amp;M$3&amp;"7")</f>
        <v/>
      </c>
      <c r="N64" s="67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6"/>
    </row>
    <row r="65" spans="2:28" x14ac:dyDescent="0.25">
      <c r="B65" s="86" t="str">
        <f>B64</f>
        <v>LEGO_Bugatti</v>
      </c>
      <c r="C65" s="93" t="s">
        <v>57</v>
      </c>
      <c r="D65" s="217" t="e">
        <f ca="1">0.000001*INDIRECT($B65&amp;"!E8")</f>
        <v>#VALUE!</v>
      </c>
      <c r="E65" s="216"/>
      <c r="F65" s="86" t="str">
        <f>F64</f>
        <v>LEGO_Bugatti</v>
      </c>
      <c r="G65" s="93" t="s">
        <v>57</v>
      </c>
      <c r="H65" s="217" t="e">
        <f ca="1">0.000001*INDIRECT($B65&amp;"!AC8")</f>
        <v>#VALUE!</v>
      </c>
      <c r="I65" s="9"/>
      <c r="J65" s="218" t="e">
        <f ca="1">H65/D65-1</f>
        <v>#VALUE!</v>
      </c>
      <c r="L65" s="65" t="str">
        <f ca="1">INDIRECT($B65&amp;"!"&amp;L$3&amp;"8")</f>
        <v/>
      </c>
      <c r="M65" s="66" t="str">
        <f ca="1">INDIRECT($B65&amp;"!"&amp;M$3&amp;"8")</f>
        <v/>
      </c>
      <c r="N65" s="67" t="e">
        <f ca="1">M65-L65</f>
        <v>#VALUE!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6"/>
    </row>
    <row r="66" spans="2:28" ht="16.5" customHeight="1" thickBot="1" x14ac:dyDescent="0.3">
      <c r="B66" s="86" t="str">
        <f>B65</f>
        <v>LEGO_Bugatti</v>
      </c>
      <c r="C66" s="93" t="s">
        <v>58</v>
      </c>
      <c r="D66" s="217" t="e">
        <f ca="1">0.000001*INDIRECT($B66&amp;"!E9")</f>
        <v>#VALUE!</v>
      </c>
      <c r="E66" s="216"/>
      <c r="F66" s="86" t="str">
        <f>F65</f>
        <v>LEGO_Bugatti</v>
      </c>
      <c r="G66" s="93" t="s">
        <v>58</v>
      </c>
      <c r="H66" s="217" t="e">
        <f ca="1">0.000001*INDIRECT($B66&amp;"!AC9")</f>
        <v>#VALUE!</v>
      </c>
      <c r="I66" s="9"/>
      <c r="J66" s="218" t="e">
        <f ca="1">H66/D66-1</f>
        <v>#VALUE!</v>
      </c>
      <c r="L66" s="65" t="str">
        <f ca="1">INDIRECT($B66&amp;"!"&amp;L$3&amp;"9")</f>
        <v/>
      </c>
      <c r="M66" s="66" t="str">
        <f ca="1">INDIRECT($B66&amp;"!"&amp;M$3&amp;"9")</f>
        <v/>
      </c>
      <c r="N66" s="67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6"/>
      <c r="AB66" s="220"/>
    </row>
    <row r="67" spans="2:28" ht="16.5" customHeight="1" x14ac:dyDescent="0.25">
      <c r="B67" s="80"/>
      <c r="C67" s="81"/>
      <c r="D67" s="222"/>
      <c r="F67" s="80"/>
      <c r="G67" s="81"/>
      <c r="H67" s="222"/>
      <c r="J67" s="69" t="e">
        <f ca="1">MIN(D62:D66,H62:H66)</f>
        <v>#VALUE!</v>
      </c>
      <c r="L67" s="70"/>
      <c r="M67" s="71"/>
      <c r="N67" s="72"/>
      <c r="O67" s="216"/>
      <c r="P67" s="205"/>
      <c r="Q67" s="216"/>
      <c r="R67" s="9"/>
      <c r="S67" s="9"/>
      <c r="T67" s="9"/>
      <c r="U67" s="9"/>
      <c r="V67" s="57"/>
      <c r="X67" s="6"/>
      <c r="Y67" s="6"/>
      <c r="Z67" s="56"/>
    </row>
    <row r="68" spans="2:28" ht="16.5" customHeight="1" thickBot="1" x14ac:dyDescent="0.3">
      <c r="B68" s="62"/>
      <c r="C68" s="63"/>
      <c r="D68" s="223"/>
      <c r="E68" s="216"/>
      <c r="F68" s="62"/>
      <c r="G68" s="63"/>
      <c r="H68" s="223"/>
      <c r="I68" s="9"/>
      <c r="J68" s="73" t="e">
        <f ca="1">MAX(D62:D66,H62:H66)</f>
        <v>#VALUE!</v>
      </c>
      <c r="L68" s="74">
        <f>L67</f>
        <v>0</v>
      </c>
      <c r="M68" s="75">
        <f>M67</f>
        <v>0</v>
      </c>
      <c r="N68" s="68"/>
      <c r="O68" s="216"/>
      <c r="P68" s="5"/>
      <c r="Q68" s="216"/>
      <c r="R68" s="9"/>
      <c r="S68" s="9"/>
      <c r="T68" s="9"/>
      <c r="U68" s="9"/>
      <c r="V68" s="57"/>
      <c r="X68" s="58"/>
      <c r="Y68" s="58"/>
      <c r="Z68" s="56"/>
    </row>
    <row r="69" spans="2:28" ht="16.5" customHeight="1" thickBot="1" x14ac:dyDescent="0.3"/>
    <row r="70" spans="2:28" x14ac:dyDescent="0.25">
      <c r="B70" s="265" t="s">
        <v>27</v>
      </c>
      <c r="C70" s="260"/>
      <c r="D70" s="261"/>
      <c r="E70" s="2"/>
      <c r="F70" s="265" t="str">
        <f>B70</f>
        <v>Plant</v>
      </c>
      <c r="G70" s="260"/>
      <c r="H70" s="261"/>
      <c r="I70" s="2"/>
      <c r="J70" s="205"/>
      <c r="L70" s="259" t="str">
        <f>F70</f>
        <v>Plant</v>
      </c>
      <c r="M70" s="260"/>
      <c r="N70" s="261"/>
      <c r="O70" s="149"/>
      <c r="P70" s="205"/>
      <c r="U70" s="206"/>
      <c r="V70" s="206"/>
      <c r="X70" s="266"/>
      <c r="Y70" s="257"/>
      <c r="Z70" s="257"/>
    </row>
    <row r="71" spans="2:28" x14ac:dyDescent="0.25">
      <c r="B71" s="262" t="s">
        <v>47</v>
      </c>
      <c r="C71" s="257"/>
      <c r="D71" s="61" t="s">
        <v>48</v>
      </c>
      <c r="E71" s="216"/>
      <c r="F71" s="262" t="s">
        <v>47</v>
      </c>
      <c r="G71" s="257"/>
      <c r="H71" s="61" t="s">
        <v>48</v>
      </c>
      <c r="I71" s="9"/>
      <c r="J71" s="203" t="s">
        <v>49</v>
      </c>
      <c r="L71" s="256" t="s">
        <v>50</v>
      </c>
      <c r="M71" s="257"/>
      <c r="N71" s="258"/>
      <c r="O71" s="59"/>
      <c r="P71" s="3"/>
      <c r="R71" s="263"/>
      <c r="S71" s="257"/>
      <c r="T71" s="257"/>
      <c r="U71" s="201"/>
      <c r="V71" s="201"/>
      <c r="X71" s="263"/>
      <c r="Y71" s="257"/>
      <c r="Z71" s="257"/>
    </row>
    <row r="72" spans="2:28" x14ac:dyDescent="0.25">
      <c r="B72" s="145" t="s">
        <v>0</v>
      </c>
      <c r="C72" s="93" t="s">
        <v>51</v>
      </c>
      <c r="D72" s="60" t="s">
        <v>52</v>
      </c>
      <c r="E72" s="216"/>
      <c r="F72" s="145" t="s">
        <v>0</v>
      </c>
      <c r="G72" s="93" t="s">
        <v>51</v>
      </c>
      <c r="H72" s="60" t="s">
        <v>52</v>
      </c>
      <c r="I72" s="9"/>
      <c r="J72" s="64"/>
      <c r="L72" s="146" t="str">
        <f>CONCATENATE(B$2," ",L70)</f>
        <v>MPEG151-octree Plant</v>
      </c>
      <c r="M72" s="147" t="str">
        <f>CONCATENATE(F$2," ",L70)</f>
        <v>MPEG151-修改上下文 Plant</v>
      </c>
      <c r="N72" s="148" t="s">
        <v>53</v>
      </c>
      <c r="O72" s="2"/>
      <c r="P72" s="3" t="s">
        <v>44</v>
      </c>
      <c r="Q72" s="2"/>
      <c r="R72" s="2"/>
      <c r="S72" s="2"/>
      <c r="T72" s="2"/>
      <c r="U72" s="2"/>
      <c r="V72" s="2"/>
      <c r="X72" s="149"/>
      <c r="Y72" s="149"/>
      <c r="Z72" s="149"/>
    </row>
    <row r="73" spans="2:28" x14ac:dyDescent="0.25">
      <c r="B73" s="86" t="str">
        <f>B70</f>
        <v>Plant</v>
      </c>
      <c r="C73" s="93" t="s">
        <v>54</v>
      </c>
      <c r="D73" s="217" t="e">
        <f ca="1">0.000001*INDIRECT($B73&amp;"!E5")</f>
        <v>#VALUE!</v>
      </c>
      <c r="E73" s="216"/>
      <c r="F73" s="86" t="str">
        <f>F70</f>
        <v>Plant</v>
      </c>
      <c r="G73" s="93" t="s">
        <v>54</v>
      </c>
      <c r="H73" s="217" t="e">
        <f ca="1">0.000001*INDIRECT($B73&amp;"!AC5")</f>
        <v>#VALUE!</v>
      </c>
      <c r="I73" s="9"/>
      <c r="J73" s="218" t="e">
        <f ca="1">H73/D73-1</f>
        <v>#VALUE!</v>
      </c>
      <c r="L73" s="65" t="str">
        <f ca="1">INDIRECT($B73&amp;"!"&amp;L$3&amp;"5")</f>
        <v/>
      </c>
      <c r="M73" s="66" t="str">
        <f ca="1">INDIRECT($B73&amp;"!"&amp;M$3&amp;"5")</f>
        <v/>
      </c>
      <c r="N73" s="67" t="e">
        <f ca="1">M73-L73</f>
        <v>#VALUE!</v>
      </c>
      <c r="O73" s="216"/>
      <c r="P73" s="218" t="e">
        <f ca="1">bdRateExtend(D73:D77,L73:L77,H73:H77,M73:M77)</f>
        <v>#VALUE!</v>
      </c>
      <c r="Q73" s="216"/>
      <c r="R73" s="9"/>
      <c r="S73" s="9"/>
      <c r="T73" s="9"/>
      <c r="U73" s="9"/>
      <c r="V73" s="219"/>
      <c r="X73" s="6"/>
      <c r="Y73" s="6"/>
      <c r="Z73" s="56"/>
      <c r="AB73" s="220"/>
    </row>
    <row r="74" spans="2:28" x14ac:dyDescent="0.25">
      <c r="B74" s="86" t="str">
        <f>B73</f>
        <v>Plant</v>
      </c>
      <c r="C74" s="93" t="s">
        <v>55</v>
      </c>
      <c r="D74" s="217" t="e">
        <f ca="1">0.000001*INDIRECT($B74&amp;"!E6")</f>
        <v>#VALUE!</v>
      </c>
      <c r="E74" s="216"/>
      <c r="F74" s="86" t="str">
        <f>F73</f>
        <v>Plant</v>
      </c>
      <c r="G74" s="93" t="s">
        <v>55</v>
      </c>
      <c r="H74" s="217" t="e">
        <f ca="1">0.000001*INDIRECT($B74&amp;"!AC6")</f>
        <v>#VALUE!</v>
      </c>
      <c r="I74" s="9"/>
      <c r="J74" s="218" t="e">
        <f ca="1">H74/D74-1</f>
        <v>#VALUE!</v>
      </c>
      <c r="L74" s="65" t="str">
        <f ca="1">INDIRECT($B74&amp;"!"&amp;L$3&amp;"6")</f>
        <v/>
      </c>
      <c r="M74" s="66" t="str">
        <f ca="1">INDIRECT($B74&amp;"!"&amp;M$3&amp;"6")</f>
        <v/>
      </c>
      <c r="N74" s="67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6"/>
    </row>
    <row r="75" spans="2:28" x14ac:dyDescent="0.25">
      <c r="B75" s="86" t="str">
        <f>B74</f>
        <v>Plant</v>
      </c>
      <c r="C75" s="93" t="s">
        <v>56</v>
      </c>
      <c r="D75" s="217" t="e">
        <f ca="1">0.000001*INDIRECT($B75&amp;"!E7")</f>
        <v>#VALUE!</v>
      </c>
      <c r="E75" s="216"/>
      <c r="F75" s="86" t="str">
        <f>F74</f>
        <v>Plant</v>
      </c>
      <c r="G75" s="93" t="s">
        <v>56</v>
      </c>
      <c r="H75" s="217" t="e">
        <f ca="1">0.000001*INDIRECT($B75&amp;"!AC7")</f>
        <v>#VALUE!</v>
      </c>
      <c r="I75" s="9"/>
      <c r="J75" s="218" t="e">
        <f ca="1">H75/D75-1</f>
        <v>#VALUE!</v>
      </c>
      <c r="L75" s="65" t="str">
        <f ca="1">INDIRECT($B75&amp;"!"&amp;L$3&amp;"7")</f>
        <v/>
      </c>
      <c r="M75" s="66" t="str">
        <f ca="1">INDIRECT($B75&amp;"!"&amp;M$3&amp;"7")</f>
        <v/>
      </c>
      <c r="N75" s="67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6"/>
    </row>
    <row r="76" spans="2:28" x14ac:dyDescent="0.25">
      <c r="B76" s="86" t="str">
        <f>B75</f>
        <v>Plant</v>
      </c>
      <c r="C76" s="93" t="s">
        <v>57</v>
      </c>
      <c r="D76" s="217" t="e">
        <f ca="1">0.000001*INDIRECT($B76&amp;"!E8")</f>
        <v>#VALUE!</v>
      </c>
      <c r="E76" s="216"/>
      <c r="F76" s="86" t="str">
        <f>F75</f>
        <v>Plant</v>
      </c>
      <c r="G76" s="93" t="s">
        <v>57</v>
      </c>
      <c r="H76" s="217" t="e">
        <f ca="1">0.000001*INDIRECT($B76&amp;"!AC8")</f>
        <v>#VALUE!</v>
      </c>
      <c r="I76" s="9"/>
      <c r="J76" s="218" t="e">
        <f ca="1">H76/D76-1</f>
        <v>#VALUE!</v>
      </c>
      <c r="L76" s="65" t="str">
        <f ca="1">INDIRECT($B76&amp;"!"&amp;L$3&amp;"8")</f>
        <v/>
      </c>
      <c r="M76" s="66" t="str">
        <f ca="1">INDIRECT($B76&amp;"!"&amp;M$3&amp;"8")</f>
        <v/>
      </c>
      <c r="N76" s="67" t="e">
        <f ca="1">M76-L76</f>
        <v>#VALUE!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6"/>
    </row>
    <row r="77" spans="2:28" ht="16.5" customHeight="1" thickBot="1" x14ac:dyDescent="0.3">
      <c r="B77" s="86" t="str">
        <f>B76</f>
        <v>Plant</v>
      </c>
      <c r="C77" s="93" t="s">
        <v>58</v>
      </c>
      <c r="D77" s="217" t="e">
        <f ca="1">0.000001*INDIRECT($B77&amp;"!E9")</f>
        <v>#VALUE!</v>
      </c>
      <c r="E77" s="216"/>
      <c r="F77" s="86" t="str">
        <f>F76</f>
        <v>Plant</v>
      </c>
      <c r="G77" s="93" t="s">
        <v>58</v>
      </c>
      <c r="H77" s="217" t="e">
        <f ca="1">0.000001*INDIRECT($B77&amp;"!AC9")</f>
        <v>#VALUE!</v>
      </c>
      <c r="I77" s="9"/>
      <c r="J77" s="218" t="e">
        <f ca="1">H77/D77-1</f>
        <v>#VALUE!</v>
      </c>
      <c r="L77" s="65" t="str">
        <f ca="1">INDIRECT($B77&amp;"!"&amp;L$3&amp;"9")</f>
        <v/>
      </c>
      <c r="M77" s="66" t="str">
        <f ca="1">INDIRECT($B77&amp;"!"&amp;M$3&amp;"9")</f>
        <v/>
      </c>
      <c r="N77" s="67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6"/>
      <c r="AB77" s="220"/>
    </row>
    <row r="78" spans="2:28" ht="16.5" customHeight="1" x14ac:dyDescent="0.25">
      <c r="B78" s="80"/>
      <c r="C78" s="81"/>
      <c r="D78" s="222"/>
      <c r="F78" s="80"/>
      <c r="G78" s="81"/>
      <c r="H78" s="222"/>
      <c r="J78" s="69" t="e">
        <f ca="1">MIN(D73:D77,H73:H77)</f>
        <v>#VALUE!</v>
      </c>
      <c r="L78" s="70"/>
      <c r="M78" s="71"/>
      <c r="N78" s="72"/>
      <c r="O78" s="216"/>
      <c r="P78" s="205"/>
      <c r="Q78" s="216"/>
      <c r="R78" s="9"/>
      <c r="S78" s="9"/>
      <c r="T78" s="9"/>
      <c r="U78" s="9"/>
      <c r="V78" s="57"/>
      <c r="X78" s="6"/>
      <c r="Y78" s="6"/>
      <c r="Z78" s="56"/>
    </row>
    <row r="79" spans="2:28" ht="16.5" customHeight="1" thickBot="1" x14ac:dyDescent="0.3">
      <c r="B79" s="62"/>
      <c r="C79" s="63"/>
      <c r="D79" s="223"/>
      <c r="E79" s="216"/>
      <c r="F79" s="62"/>
      <c r="G79" s="63"/>
      <c r="H79" s="223"/>
      <c r="I79" s="9"/>
      <c r="J79" s="73" t="e">
        <f ca="1">MAX(D73:D77,H73:H77)</f>
        <v>#VALUE!</v>
      </c>
      <c r="L79" s="74">
        <f>L78</f>
        <v>0</v>
      </c>
      <c r="M79" s="75">
        <f>M78</f>
        <v>0</v>
      </c>
      <c r="N79" s="68"/>
      <c r="O79" s="216"/>
      <c r="P79" s="5"/>
      <c r="Q79" s="216"/>
      <c r="R79" s="9"/>
      <c r="S79" s="9"/>
      <c r="T79" s="9"/>
      <c r="U79" s="9"/>
      <c r="V79" s="57"/>
      <c r="X79" s="58"/>
      <c r="Y79" s="58"/>
      <c r="Z79" s="56"/>
    </row>
    <row r="80" spans="2:28" ht="18" customHeight="1" thickBot="1" x14ac:dyDescent="0.3"/>
    <row r="81" spans="2:28" x14ac:dyDescent="0.25">
      <c r="B81" s="265" t="s">
        <v>28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205"/>
      <c r="L81" s="259" t="str">
        <f>F81</f>
        <v>Tennis_Player</v>
      </c>
      <c r="M81" s="260"/>
      <c r="N81" s="261"/>
      <c r="O81" s="149"/>
      <c r="P81" s="205"/>
      <c r="U81" s="206"/>
      <c r="V81" s="206"/>
      <c r="X81" s="266"/>
      <c r="Y81" s="257"/>
      <c r="Z81" s="257"/>
    </row>
    <row r="82" spans="2:28" x14ac:dyDescent="0.25">
      <c r="B82" s="262" t="s">
        <v>47</v>
      </c>
      <c r="C82" s="257"/>
      <c r="D82" s="61" t="s">
        <v>48</v>
      </c>
      <c r="E82" s="216"/>
      <c r="F82" s="262" t="s">
        <v>47</v>
      </c>
      <c r="G82" s="257"/>
      <c r="H82" s="61" t="s">
        <v>48</v>
      </c>
      <c r="I82" s="9"/>
      <c r="J82" s="203" t="s">
        <v>49</v>
      </c>
      <c r="L82" s="256" t="s">
        <v>50</v>
      </c>
      <c r="M82" s="257"/>
      <c r="N82" s="258"/>
      <c r="O82" s="59"/>
      <c r="P82" s="3"/>
      <c r="R82" s="263"/>
      <c r="S82" s="257"/>
      <c r="T82" s="257"/>
      <c r="U82" s="201"/>
      <c r="V82" s="201"/>
      <c r="X82" s="263"/>
      <c r="Y82" s="257"/>
      <c r="Z82" s="257"/>
    </row>
    <row r="83" spans="2:28" x14ac:dyDescent="0.25">
      <c r="B83" s="145" t="s">
        <v>0</v>
      </c>
      <c r="C83" s="93" t="s">
        <v>51</v>
      </c>
      <c r="D83" s="60" t="s">
        <v>52</v>
      </c>
      <c r="E83" s="216"/>
      <c r="F83" s="145" t="s">
        <v>0</v>
      </c>
      <c r="G83" s="93" t="s">
        <v>51</v>
      </c>
      <c r="H83" s="60" t="s">
        <v>52</v>
      </c>
      <c r="I83" s="9"/>
      <c r="J83" s="64"/>
      <c r="L83" s="146" t="str">
        <f>CONCATENATE(B$2," ",L81)</f>
        <v>MPEG151-octree Tennis_Player</v>
      </c>
      <c r="M83" s="147" t="str">
        <f>CONCATENATE(F$2," ",L81)</f>
        <v>MPEG151-修改上下文 Tennis_Player</v>
      </c>
      <c r="N83" s="148" t="s">
        <v>53</v>
      </c>
      <c r="O83" s="2"/>
      <c r="P83" s="3" t="s">
        <v>44</v>
      </c>
      <c r="Q83" s="2"/>
      <c r="R83" s="2"/>
      <c r="S83" s="2"/>
      <c r="T83" s="2"/>
      <c r="U83" s="2"/>
      <c r="V83" s="2"/>
      <c r="X83" s="149"/>
      <c r="Y83" s="149"/>
      <c r="Z83" s="149"/>
    </row>
    <row r="84" spans="2:28" x14ac:dyDescent="0.25">
      <c r="B84" s="86" t="str">
        <f>B81</f>
        <v>Tennis_Player</v>
      </c>
      <c r="C84" s="93" t="s">
        <v>54</v>
      </c>
      <c r="D84" s="217" t="e">
        <f ca="1">0.000001*INDIRECT($B84&amp;"!E5")</f>
        <v>#VALUE!</v>
      </c>
      <c r="E84" s="216"/>
      <c r="F84" s="86" t="str">
        <f>F81</f>
        <v>Tennis_Player</v>
      </c>
      <c r="G84" s="93" t="s">
        <v>54</v>
      </c>
      <c r="H84" s="217" t="e">
        <f ca="1">0.000001*INDIRECT($B84&amp;"!AC5")</f>
        <v>#VALUE!</v>
      </c>
      <c r="I84" s="9"/>
      <c r="J84" s="218" t="e">
        <f ca="1">H84/D84-1</f>
        <v>#VALUE!</v>
      </c>
      <c r="L84" s="65" t="str">
        <f ca="1">INDIRECT($B84&amp;"!"&amp;L$3&amp;"5")</f>
        <v/>
      </c>
      <c r="M84" s="66" t="str">
        <f ca="1">INDIRECT($B84&amp;"!"&amp;M$3&amp;"5")</f>
        <v/>
      </c>
      <c r="N84" s="67" t="e">
        <f ca="1">M84-L84</f>
        <v>#VALUE!</v>
      </c>
      <c r="O84" s="216"/>
      <c r="P84" s="218" t="e">
        <f ca="1">bdRateExtend(D84:D88,L84:L88,H84:H88,M84:M88)</f>
        <v>#VALUE!</v>
      </c>
      <c r="Q84" s="216"/>
      <c r="R84" s="9"/>
      <c r="S84" s="9"/>
      <c r="T84" s="9"/>
      <c r="U84" s="9"/>
      <c r="V84" s="219"/>
      <c r="X84" s="6"/>
      <c r="Y84" s="6"/>
      <c r="Z84" s="56"/>
      <c r="AB84" s="220"/>
    </row>
    <row r="85" spans="2:28" x14ac:dyDescent="0.25">
      <c r="B85" s="86" t="str">
        <f>B84</f>
        <v>Tennis_Player</v>
      </c>
      <c r="C85" s="93" t="s">
        <v>55</v>
      </c>
      <c r="D85" s="217" t="e">
        <f ca="1">0.000001*INDIRECT($B85&amp;"!E6")</f>
        <v>#VALUE!</v>
      </c>
      <c r="E85" s="216"/>
      <c r="F85" s="86" t="str">
        <f>F84</f>
        <v>Tennis_Player</v>
      </c>
      <c r="G85" s="93" t="s">
        <v>55</v>
      </c>
      <c r="H85" s="217" t="e">
        <f ca="1">0.000001*INDIRECT($B85&amp;"!AC6")</f>
        <v>#VALUE!</v>
      </c>
      <c r="I85" s="9"/>
      <c r="J85" s="218" t="e">
        <f ca="1">H85/D85-1</f>
        <v>#VALUE!</v>
      </c>
      <c r="L85" s="65" t="str">
        <f ca="1">INDIRECT($B85&amp;"!"&amp;L$3&amp;"6")</f>
        <v/>
      </c>
      <c r="M85" s="66" t="str">
        <f ca="1">INDIRECT($B85&amp;"!"&amp;M$3&amp;"6")</f>
        <v/>
      </c>
      <c r="N85" s="67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6"/>
    </row>
    <row r="86" spans="2:28" x14ac:dyDescent="0.25">
      <c r="B86" s="86" t="str">
        <f>B85</f>
        <v>Tennis_Player</v>
      </c>
      <c r="C86" s="93" t="s">
        <v>56</v>
      </c>
      <c r="D86" s="217" t="e">
        <f ca="1">0.000001*INDIRECT($B86&amp;"!E7")</f>
        <v>#VALUE!</v>
      </c>
      <c r="E86" s="216"/>
      <c r="F86" s="86" t="str">
        <f>F85</f>
        <v>Tennis_Player</v>
      </c>
      <c r="G86" s="93" t="s">
        <v>56</v>
      </c>
      <c r="H86" s="217" t="e">
        <f ca="1">0.000001*INDIRECT($B86&amp;"!AC7")</f>
        <v>#VALUE!</v>
      </c>
      <c r="I86" s="9"/>
      <c r="J86" s="218" t="e">
        <f ca="1">H86/D86-1</f>
        <v>#VALUE!</v>
      </c>
      <c r="L86" s="65" t="str">
        <f ca="1">INDIRECT($B86&amp;"!"&amp;L$3&amp;"7")</f>
        <v/>
      </c>
      <c r="M86" s="66" t="str">
        <f ca="1">INDIRECT($B86&amp;"!"&amp;M$3&amp;"7")</f>
        <v/>
      </c>
      <c r="N86" s="67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6"/>
    </row>
    <row r="87" spans="2:28" x14ac:dyDescent="0.25">
      <c r="B87" s="86" t="str">
        <f>B86</f>
        <v>Tennis_Player</v>
      </c>
      <c r="C87" s="93" t="s">
        <v>57</v>
      </c>
      <c r="D87" s="217" t="e">
        <f ca="1">0.000001*INDIRECT($B87&amp;"!E8")</f>
        <v>#VALUE!</v>
      </c>
      <c r="E87" s="216"/>
      <c r="F87" s="86" t="str">
        <f>F86</f>
        <v>Tennis_Player</v>
      </c>
      <c r="G87" s="93" t="s">
        <v>57</v>
      </c>
      <c r="H87" s="217" t="e">
        <f ca="1">0.000001*INDIRECT($B87&amp;"!AC8")</f>
        <v>#VALUE!</v>
      </c>
      <c r="I87" s="9"/>
      <c r="J87" s="218" t="e">
        <f ca="1">H87/D87-1</f>
        <v>#VALUE!</v>
      </c>
      <c r="L87" s="65" t="str">
        <f ca="1">INDIRECT($B87&amp;"!"&amp;L$3&amp;"8")</f>
        <v/>
      </c>
      <c r="M87" s="66" t="str">
        <f ca="1">INDIRECT($B87&amp;"!"&amp;M$3&amp;"8")</f>
        <v/>
      </c>
      <c r="N87" s="67" t="e">
        <f ca="1">M87-L87</f>
        <v>#VALUE!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6"/>
    </row>
    <row r="88" spans="2:28" ht="16.5" customHeight="1" thickBot="1" x14ac:dyDescent="0.3">
      <c r="B88" s="86" t="str">
        <f>B87</f>
        <v>Tennis_Player</v>
      </c>
      <c r="C88" s="93" t="s">
        <v>58</v>
      </c>
      <c r="D88" s="217" t="e">
        <f ca="1">0.000001*INDIRECT($B88&amp;"!E9")</f>
        <v>#VALUE!</v>
      </c>
      <c r="E88" s="216"/>
      <c r="F88" s="86" t="str">
        <f>F87</f>
        <v>Tennis_Player</v>
      </c>
      <c r="G88" s="93" t="s">
        <v>58</v>
      </c>
      <c r="H88" s="217" t="e">
        <f ca="1">0.000001*INDIRECT($B88&amp;"!AC9")</f>
        <v>#VALUE!</v>
      </c>
      <c r="I88" s="9"/>
      <c r="J88" s="218" t="e">
        <f ca="1">H88/D88-1</f>
        <v>#VALUE!</v>
      </c>
      <c r="L88" s="65" t="str">
        <f ca="1">INDIRECT($B88&amp;"!"&amp;L$3&amp;"9")</f>
        <v/>
      </c>
      <c r="M88" s="66" t="str">
        <f ca="1">INDIRECT($B88&amp;"!"&amp;M$3&amp;"9")</f>
        <v/>
      </c>
      <c r="N88" s="67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6"/>
      <c r="AB88" s="220"/>
    </row>
    <row r="89" spans="2:28" ht="16.5" customHeight="1" x14ac:dyDescent="0.25">
      <c r="B89" s="80"/>
      <c r="C89" s="81"/>
      <c r="D89" s="222"/>
      <c r="F89" s="80"/>
      <c r="G89" s="81"/>
      <c r="H89" s="222"/>
      <c r="J89" s="69" t="e">
        <f ca="1">MIN(D84:D88,H84:H88)</f>
        <v>#VALUE!</v>
      </c>
      <c r="L89" s="70"/>
      <c r="M89" s="71"/>
      <c r="N89" s="72"/>
      <c r="O89" s="216"/>
      <c r="P89" s="205"/>
      <c r="Q89" s="216"/>
      <c r="R89" s="9"/>
      <c r="S89" s="9"/>
      <c r="T89" s="9"/>
      <c r="U89" s="9"/>
      <c r="V89" s="57"/>
      <c r="X89" s="6"/>
      <c r="Y89" s="6"/>
      <c r="Z89" s="56"/>
    </row>
    <row r="90" spans="2:28" ht="16.5" customHeight="1" thickBot="1" x14ac:dyDescent="0.3">
      <c r="B90" s="62"/>
      <c r="C90" s="63"/>
      <c r="D90" s="223"/>
      <c r="E90" s="216"/>
      <c r="F90" s="62"/>
      <c r="G90" s="63"/>
      <c r="H90" s="223"/>
      <c r="I90" s="9"/>
      <c r="J90" s="73" t="e">
        <f ca="1">MAX(D84:D88,H84:H88)</f>
        <v>#VALUE!</v>
      </c>
      <c r="L90" s="74">
        <f>L89</f>
        <v>0</v>
      </c>
      <c r="M90" s="75">
        <f>M89</f>
        <v>0</v>
      </c>
      <c r="N90" s="68"/>
      <c r="O90" s="216"/>
      <c r="P90" s="5"/>
      <c r="Q90" s="216"/>
      <c r="R90" s="9"/>
      <c r="S90" s="9"/>
      <c r="T90" s="9"/>
      <c r="U90" s="9"/>
      <c r="V90" s="57"/>
      <c r="X90" s="58"/>
      <c r="Y90" s="58"/>
      <c r="Z90" s="56"/>
    </row>
    <row r="91" spans="2:28" ht="18" customHeight="1" thickBot="1" x14ac:dyDescent="0.3"/>
    <row r="92" spans="2:28" x14ac:dyDescent="0.25">
      <c r="B92" s="265" t="s">
        <v>29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205"/>
      <c r="L92" s="259" t="str">
        <f>F92</f>
        <v>Cricket_Player</v>
      </c>
      <c r="M92" s="260"/>
      <c r="N92" s="261"/>
      <c r="O92" s="149"/>
      <c r="P92" s="205"/>
      <c r="U92" s="206"/>
      <c r="V92" s="206"/>
      <c r="X92" s="266"/>
      <c r="Y92" s="257"/>
      <c r="Z92" s="257"/>
    </row>
    <row r="93" spans="2:28" x14ac:dyDescent="0.25">
      <c r="B93" s="262" t="s">
        <v>47</v>
      </c>
      <c r="C93" s="257"/>
      <c r="D93" s="61" t="s">
        <v>48</v>
      </c>
      <c r="E93" s="216"/>
      <c r="F93" s="262" t="s">
        <v>47</v>
      </c>
      <c r="G93" s="257"/>
      <c r="H93" s="61" t="s">
        <v>48</v>
      </c>
      <c r="I93" s="9"/>
      <c r="J93" s="203" t="s">
        <v>49</v>
      </c>
      <c r="L93" s="256" t="s">
        <v>50</v>
      </c>
      <c r="M93" s="257"/>
      <c r="N93" s="258"/>
      <c r="O93" s="59"/>
      <c r="P93" s="3"/>
      <c r="R93" s="263"/>
      <c r="S93" s="257"/>
      <c r="T93" s="257"/>
      <c r="U93" s="201"/>
      <c r="V93" s="201"/>
      <c r="X93" s="263"/>
      <c r="Y93" s="257"/>
      <c r="Z93" s="257"/>
    </row>
    <row r="94" spans="2:28" x14ac:dyDescent="0.25">
      <c r="B94" s="145" t="s">
        <v>0</v>
      </c>
      <c r="C94" s="93" t="s">
        <v>51</v>
      </c>
      <c r="D94" s="60" t="s">
        <v>52</v>
      </c>
      <c r="E94" s="216"/>
      <c r="F94" s="145" t="s">
        <v>0</v>
      </c>
      <c r="G94" s="93" t="s">
        <v>51</v>
      </c>
      <c r="H94" s="60" t="s">
        <v>52</v>
      </c>
      <c r="I94" s="9"/>
      <c r="J94" s="64"/>
      <c r="L94" s="146" t="str">
        <f>CONCATENATE(B$2," ",L92)</f>
        <v>MPEG151-octree Cricket_Player</v>
      </c>
      <c r="M94" s="147" t="str">
        <f>CONCATENATE(F$2," ",L92)</f>
        <v>MPEG151-修改上下文 Cricket_Player</v>
      </c>
      <c r="N94" s="148" t="s">
        <v>53</v>
      </c>
      <c r="O94" s="2"/>
      <c r="P94" s="3" t="s">
        <v>44</v>
      </c>
      <c r="Q94" s="2"/>
      <c r="R94" s="2"/>
      <c r="S94" s="2"/>
      <c r="T94" s="2"/>
      <c r="U94" s="2"/>
      <c r="V94" s="2"/>
      <c r="X94" s="149"/>
      <c r="Y94" s="149"/>
      <c r="Z94" s="149"/>
    </row>
    <row r="95" spans="2:28" x14ac:dyDescent="0.25">
      <c r="B95" s="86" t="str">
        <f>B92</f>
        <v>Cricket_Player</v>
      </c>
      <c r="C95" s="93" t="s">
        <v>54</v>
      </c>
      <c r="D95" s="217" t="e">
        <f ca="1">0.000001*INDIRECT($B95&amp;"!E5")</f>
        <v>#VALUE!</v>
      </c>
      <c r="E95" s="216"/>
      <c r="F95" s="86" t="str">
        <f>F92</f>
        <v>Cricket_Player</v>
      </c>
      <c r="G95" s="93" t="s">
        <v>54</v>
      </c>
      <c r="H95" s="217" t="e">
        <f ca="1">0.000001*INDIRECT($B95&amp;"!AC5")</f>
        <v>#VALUE!</v>
      </c>
      <c r="I95" s="9"/>
      <c r="J95" s="218" t="e">
        <f ca="1">H95/D95-1</f>
        <v>#VALUE!</v>
      </c>
      <c r="L95" s="65" t="str">
        <f ca="1">INDIRECT($B95&amp;"!"&amp;L$3&amp;"5")</f>
        <v/>
      </c>
      <c r="M95" s="66" t="str">
        <f ca="1">INDIRECT($B95&amp;"!"&amp;M$3&amp;"5")</f>
        <v/>
      </c>
      <c r="N95" s="67" t="e">
        <f ca="1">M95-L95</f>
        <v>#VALUE!</v>
      </c>
      <c r="O95" s="216"/>
      <c r="P95" s="218" t="e">
        <f ca="1">bdRateExtend(D95:D99,L95:L99,H95:H99,M95:M99)</f>
        <v>#VALUE!</v>
      </c>
      <c r="Q95" s="216"/>
      <c r="R95" s="9"/>
      <c r="S95" s="9"/>
      <c r="T95" s="9"/>
      <c r="U95" s="9"/>
      <c r="V95" s="219"/>
      <c r="X95" s="6"/>
      <c r="Y95" s="6"/>
      <c r="Z95" s="56"/>
      <c r="AB95" s="220"/>
    </row>
    <row r="96" spans="2:28" x14ac:dyDescent="0.25">
      <c r="B96" s="86" t="str">
        <f>B95</f>
        <v>Cricket_Player</v>
      </c>
      <c r="C96" s="93" t="s">
        <v>55</v>
      </c>
      <c r="D96" s="217" t="e">
        <f ca="1">0.000001*INDIRECT($B96&amp;"!E6")</f>
        <v>#VALUE!</v>
      </c>
      <c r="E96" s="216"/>
      <c r="F96" s="86" t="str">
        <f>F95</f>
        <v>Cricket_Player</v>
      </c>
      <c r="G96" s="93" t="s">
        <v>55</v>
      </c>
      <c r="H96" s="217" t="e">
        <f ca="1">0.000001*INDIRECT($B96&amp;"!AC6")</f>
        <v>#VALUE!</v>
      </c>
      <c r="I96" s="9"/>
      <c r="J96" s="218" t="e">
        <f ca="1">H96/D96-1</f>
        <v>#VALUE!</v>
      </c>
      <c r="L96" s="65" t="str">
        <f ca="1">INDIRECT($B96&amp;"!"&amp;L$3&amp;"6")</f>
        <v/>
      </c>
      <c r="M96" s="66" t="str">
        <f ca="1">INDIRECT($B96&amp;"!"&amp;M$3&amp;"6")</f>
        <v/>
      </c>
      <c r="N96" s="67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6"/>
    </row>
    <row r="97" spans="2:28" x14ac:dyDescent="0.25">
      <c r="B97" s="86" t="str">
        <f>B96</f>
        <v>Cricket_Player</v>
      </c>
      <c r="C97" s="93" t="s">
        <v>56</v>
      </c>
      <c r="D97" s="217" t="e">
        <f ca="1">0.000001*INDIRECT($B97&amp;"!E7")</f>
        <v>#VALUE!</v>
      </c>
      <c r="E97" s="216"/>
      <c r="F97" s="86" t="str">
        <f>F96</f>
        <v>Cricket_Player</v>
      </c>
      <c r="G97" s="93" t="s">
        <v>56</v>
      </c>
      <c r="H97" s="217" t="e">
        <f ca="1">0.000001*INDIRECT($B97&amp;"!AC7")</f>
        <v>#VALUE!</v>
      </c>
      <c r="I97" s="9"/>
      <c r="J97" s="218" t="e">
        <f ca="1">H97/D97-1</f>
        <v>#VALUE!</v>
      </c>
      <c r="L97" s="65" t="str">
        <f ca="1">INDIRECT($B97&amp;"!"&amp;L$3&amp;"7")</f>
        <v/>
      </c>
      <c r="M97" s="66" t="str">
        <f ca="1">INDIRECT($B97&amp;"!"&amp;M$3&amp;"7")</f>
        <v/>
      </c>
      <c r="N97" s="67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6"/>
    </row>
    <row r="98" spans="2:28" x14ac:dyDescent="0.25">
      <c r="B98" s="86" t="str">
        <f>B97</f>
        <v>Cricket_Player</v>
      </c>
      <c r="C98" s="93" t="s">
        <v>57</v>
      </c>
      <c r="D98" s="217" t="e">
        <f ca="1">0.000001*INDIRECT($B98&amp;"!E8")</f>
        <v>#VALUE!</v>
      </c>
      <c r="E98" s="216"/>
      <c r="F98" s="86" t="str">
        <f>F97</f>
        <v>Cricket_Player</v>
      </c>
      <c r="G98" s="93" t="s">
        <v>57</v>
      </c>
      <c r="H98" s="217" t="e">
        <f ca="1">0.000001*INDIRECT($B98&amp;"!AC8")</f>
        <v>#VALUE!</v>
      </c>
      <c r="I98" s="9"/>
      <c r="J98" s="218" t="e">
        <f ca="1">H98/D98-1</f>
        <v>#VALUE!</v>
      </c>
      <c r="L98" s="65" t="str">
        <f ca="1">INDIRECT($B98&amp;"!"&amp;L$3&amp;"8")</f>
        <v/>
      </c>
      <c r="M98" s="66" t="str">
        <f ca="1">INDIRECT($B98&amp;"!"&amp;M$3&amp;"8")</f>
        <v/>
      </c>
      <c r="N98" s="67" t="e">
        <f ca="1">M98-L98</f>
        <v>#VALUE!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6"/>
    </row>
    <row r="99" spans="2:28" ht="16.5" customHeight="1" thickBot="1" x14ac:dyDescent="0.3">
      <c r="B99" s="86" t="str">
        <f>B98</f>
        <v>Cricket_Player</v>
      </c>
      <c r="C99" s="93" t="s">
        <v>58</v>
      </c>
      <c r="D99" s="217" t="e">
        <f ca="1">0.000001*INDIRECT($B99&amp;"!E9")</f>
        <v>#VALUE!</v>
      </c>
      <c r="E99" s="216"/>
      <c r="F99" s="86" t="str">
        <f>F98</f>
        <v>Cricket_Player</v>
      </c>
      <c r="G99" s="93" t="s">
        <v>58</v>
      </c>
      <c r="H99" s="217" t="e">
        <f ca="1">0.000001*INDIRECT($B99&amp;"!AC9")</f>
        <v>#VALUE!</v>
      </c>
      <c r="I99" s="9"/>
      <c r="J99" s="218" t="e">
        <f ca="1">H99/D99-1</f>
        <v>#VALUE!</v>
      </c>
      <c r="L99" s="65" t="str">
        <f ca="1">INDIRECT($B99&amp;"!"&amp;L$3&amp;"9")</f>
        <v/>
      </c>
      <c r="M99" s="66" t="str">
        <f ca="1">INDIRECT($B99&amp;"!"&amp;M$3&amp;"9")</f>
        <v/>
      </c>
      <c r="N99" s="67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6"/>
      <c r="AB99" s="220"/>
    </row>
    <row r="100" spans="2:28" ht="16.5" customHeight="1" x14ac:dyDescent="0.25">
      <c r="B100" s="80"/>
      <c r="C100" s="81"/>
      <c r="D100" s="222"/>
      <c r="F100" s="80"/>
      <c r="G100" s="81"/>
      <c r="H100" s="222"/>
      <c r="J100" s="69" t="e">
        <f ca="1">MIN(D95:D99,H95:H99)</f>
        <v>#VALUE!</v>
      </c>
      <c r="L100" s="70"/>
      <c r="M100" s="71"/>
      <c r="N100" s="72"/>
      <c r="O100" s="216"/>
      <c r="P100" s="205"/>
      <c r="Q100" s="216"/>
      <c r="R100" s="9"/>
      <c r="S100" s="9"/>
      <c r="T100" s="9"/>
      <c r="U100" s="9"/>
      <c r="V100" s="57"/>
      <c r="X100" s="6"/>
      <c r="Y100" s="6"/>
      <c r="Z100" s="56"/>
    </row>
    <row r="101" spans="2:28" ht="16.5" customHeight="1" thickBot="1" x14ac:dyDescent="0.3">
      <c r="B101" s="62"/>
      <c r="C101" s="63"/>
      <c r="D101" s="223"/>
      <c r="E101" s="216"/>
      <c r="F101" s="62"/>
      <c r="G101" s="63"/>
      <c r="H101" s="223"/>
      <c r="I101" s="9"/>
      <c r="J101" s="73" t="e">
        <f ca="1">MAX(D95:D99,H95:H99)</f>
        <v>#VALUE!</v>
      </c>
      <c r="L101" s="74">
        <f>L100</f>
        <v>0</v>
      </c>
      <c r="M101" s="75">
        <f>M100</f>
        <v>0</v>
      </c>
      <c r="N101" s="68"/>
      <c r="O101" s="216"/>
      <c r="P101" s="5"/>
      <c r="Q101" s="216"/>
      <c r="R101" s="9"/>
      <c r="S101" s="9"/>
      <c r="T101" s="9"/>
      <c r="U101" s="9"/>
      <c r="V101" s="57"/>
      <c r="X101" s="58"/>
      <c r="Y101" s="58"/>
      <c r="Z101" s="56"/>
    </row>
    <row r="102" spans="2:28" ht="18" customHeight="1" thickBot="1" x14ac:dyDescent="0.3"/>
    <row r="103" spans="2:28" x14ac:dyDescent="0.25">
      <c r="B103" s="265" t="s">
        <v>30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205"/>
      <c r="L103" s="259" t="str">
        <f>F103</f>
        <v>Tango_Duo</v>
      </c>
      <c r="M103" s="260"/>
      <c r="N103" s="261"/>
      <c r="O103" s="149"/>
      <c r="P103" s="205"/>
      <c r="U103" s="206"/>
      <c r="V103" s="206"/>
      <c r="X103" s="266"/>
      <c r="Y103" s="257"/>
      <c r="Z103" s="257"/>
    </row>
    <row r="104" spans="2:28" x14ac:dyDescent="0.25">
      <c r="B104" s="262" t="s">
        <v>47</v>
      </c>
      <c r="C104" s="257"/>
      <c r="D104" s="61" t="s">
        <v>48</v>
      </c>
      <c r="E104" s="216"/>
      <c r="F104" s="262" t="s">
        <v>47</v>
      </c>
      <c r="G104" s="257"/>
      <c r="H104" s="61" t="s">
        <v>48</v>
      </c>
      <c r="I104" s="9"/>
      <c r="J104" s="203" t="s">
        <v>49</v>
      </c>
      <c r="L104" s="256" t="s">
        <v>50</v>
      </c>
      <c r="M104" s="257"/>
      <c r="N104" s="258"/>
      <c r="O104" s="59"/>
      <c r="P104" s="3"/>
      <c r="R104" s="263"/>
      <c r="S104" s="257"/>
      <c r="T104" s="257"/>
      <c r="U104" s="201"/>
      <c r="V104" s="201"/>
      <c r="X104" s="263"/>
      <c r="Y104" s="257"/>
      <c r="Z104" s="257"/>
    </row>
    <row r="105" spans="2:28" x14ac:dyDescent="0.25">
      <c r="B105" s="145" t="s">
        <v>0</v>
      </c>
      <c r="C105" s="93" t="s">
        <v>51</v>
      </c>
      <c r="D105" s="60" t="s">
        <v>52</v>
      </c>
      <c r="E105" s="216"/>
      <c r="F105" s="145" t="s">
        <v>0</v>
      </c>
      <c r="G105" s="93" t="s">
        <v>51</v>
      </c>
      <c r="H105" s="60" t="s">
        <v>52</v>
      </c>
      <c r="I105" s="9"/>
      <c r="J105" s="64"/>
      <c r="L105" s="146" t="str">
        <f>CONCATENATE(B$2," ",L103)</f>
        <v>MPEG151-octree Tango_Duo</v>
      </c>
      <c r="M105" s="147" t="str">
        <f>CONCATENATE(F$2," ",L103)</f>
        <v>MPEG151-修改上下文 Tango_Duo</v>
      </c>
      <c r="N105" s="148" t="s">
        <v>53</v>
      </c>
      <c r="O105" s="2"/>
      <c r="P105" s="3" t="s">
        <v>44</v>
      </c>
      <c r="Q105" s="2"/>
      <c r="R105" s="2"/>
      <c r="S105" s="2"/>
      <c r="T105" s="2"/>
      <c r="U105" s="2"/>
      <c r="V105" s="2"/>
      <c r="X105" s="149"/>
      <c r="Y105" s="149"/>
      <c r="Z105" s="149"/>
    </row>
    <row r="106" spans="2:28" x14ac:dyDescent="0.25">
      <c r="B106" s="86" t="str">
        <f>B103</f>
        <v>Tango_Duo</v>
      </c>
      <c r="C106" s="93" t="s">
        <v>54</v>
      </c>
      <c r="D106" s="217" t="e">
        <f ca="1">0.000001*INDIRECT($B106&amp;"!E5")</f>
        <v>#VALUE!</v>
      </c>
      <c r="E106" s="216"/>
      <c r="F106" s="86" t="str">
        <f>F103</f>
        <v>Tango_Duo</v>
      </c>
      <c r="G106" s="93" t="s">
        <v>54</v>
      </c>
      <c r="H106" s="217" t="e">
        <f ca="1">0.000001*INDIRECT($B106&amp;"!AC5")</f>
        <v>#VALUE!</v>
      </c>
      <c r="I106" s="9"/>
      <c r="J106" s="218" t="e">
        <f ca="1">H106/D106-1</f>
        <v>#VALUE!</v>
      </c>
      <c r="L106" s="65" t="str">
        <f ca="1">INDIRECT($B106&amp;"!"&amp;L$3&amp;"5")</f>
        <v/>
      </c>
      <c r="M106" s="66" t="str">
        <f ca="1">INDIRECT($B106&amp;"!"&amp;M$3&amp;"5")</f>
        <v/>
      </c>
      <c r="N106" s="67" t="e">
        <f ca="1">M106-L106</f>
        <v>#VALUE!</v>
      </c>
      <c r="O106" s="216"/>
      <c r="P106" s="218" t="e">
        <f ca="1">bdRateExtend(D106:D110,L106:L110,H106:H110,M106:M110)</f>
        <v>#VALUE!</v>
      </c>
      <c r="Q106" s="216"/>
      <c r="R106" s="9"/>
      <c r="S106" s="9"/>
      <c r="T106" s="9"/>
      <c r="U106" s="9"/>
      <c r="V106" s="219"/>
      <c r="X106" s="6"/>
      <c r="Y106" s="6"/>
      <c r="Z106" s="56"/>
      <c r="AB106" s="220"/>
    </row>
    <row r="107" spans="2:28" x14ac:dyDescent="0.25">
      <c r="B107" s="86" t="str">
        <f>B106</f>
        <v>Tango_Duo</v>
      </c>
      <c r="C107" s="93" t="s">
        <v>55</v>
      </c>
      <c r="D107" s="217" t="e">
        <f ca="1">0.000001*INDIRECT($B107&amp;"!E6")</f>
        <v>#VALUE!</v>
      </c>
      <c r="E107" s="216"/>
      <c r="F107" s="86" t="str">
        <f>F106</f>
        <v>Tango_Duo</v>
      </c>
      <c r="G107" s="93" t="s">
        <v>55</v>
      </c>
      <c r="H107" s="217" t="e">
        <f ca="1">0.000001*INDIRECT($B107&amp;"!AC6")</f>
        <v>#VALUE!</v>
      </c>
      <c r="I107" s="9"/>
      <c r="J107" s="218" t="e">
        <f ca="1">H107/D107-1</f>
        <v>#VALUE!</v>
      </c>
      <c r="L107" s="65" t="str">
        <f ca="1">INDIRECT($B107&amp;"!"&amp;L$3&amp;"6")</f>
        <v/>
      </c>
      <c r="M107" s="66" t="str">
        <f ca="1">INDIRECT($B107&amp;"!"&amp;M$3&amp;"6")</f>
        <v/>
      </c>
      <c r="N107" s="67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6"/>
    </row>
    <row r="108" spans="2:28" x14ac:dyDescent="0.25">
      <c r="B108" s="86" t="str">
        <f>B107</f>
        <v>Tango_Duo</v>
      </c>
      <c r="C108" s="93" t="s">
        <v>56</v>
      </c>
      <c r="D108" s="217" t="e">
        <f ca="1">0.000001*INDIRECT($B108&amp;"!E7")</f>
        <v>#VALUE!</v>
      </c>
      <c r="E108" s="216"/>
      <c r="F108" s="86" t="str">
        <f>F107</f>
        <v>Tango_Duo</v>
      </c>
      <c r="G108" s="93" t="s">
        <v>56</v>
      </c>
      <c r="H108" s="217" t="e">
        <f ca="1">0.000001*INDIRECT($B108&amp;"!AC7")</f>
        <v>#VALUE!</v>
      </c>
      <c r="I108" s="9"/>
      <c r="J108" s="218" t="e">
        <f ca="1">H108/D108-1</f>
        <v>#VALUE!</v>
      </c>
      <c r="L108" s="65" t="str">
        <f ca="1">INDIRECT($B108&amp;"!"&amp;L$3&amp;"7")</f>
        <v/>
      </c>
      <c r="M108" s="66" t="str">
        <f ca="1">INDIRECT($B108&amp;"!"&amp;M$3&amp;"7")</f>
        <v/>
      </c>
      <c r="N108" s="67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6"/>
    </row>
    <row r="109" spans="2:28" x14ac:dyDescent="0.25">
      <c r="B109" s="86" t="str">
        <f>B108</f>
        <v>Tango_Duo</v>
      </c>
      <c r="C109" s="93" t="s">
        <v>57</v>
      </c>
      <c r="D109" s="217" t="e">
        <f ca="1">0.000001*INDIRECT($B109&amp;"!E8")</f>
        <v>#VALUE!</v>
      </c>
      <c r="E109" s="216"/>
      <c r="F109" s="86" t="str">
        <f>F108</f>
        <v>Tango_Duo</v>
      </c>
      <c r="G109" s="93" t="s">
        <v>57</v>
      </c>
      <c r="H109" s="217" t="e">
        <f ca="1">0.000001*INDIRECT($B109&amp;"!AC8")</f>
        <v>#VALUE!</v>
      </c>
      <c r="I109" s="9"/>
      <c r="J109" s="218" t="e">
        <f ca="1">H109/D109-1</f>
        <v>#VALUE!</v>
      </c>
      <c r="L109" s="65" t="str">
        <f ca="1">INDIRECT($B109&amp;"!"&amp;L$3&amp;"8")</f>
        <v/>
      </c>
      <c r="M109" s="66" t="str">
        <f ca="1">INDIRECT($B109&amp;"!"&amp;M$3&amp;"8")</f>
        <v/>
      </c>
      <c r="N109" s="67" t="e">
        <f ca="1">M109-L109</f>
        <v>#VALUE!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6"/>
    </row>
    <row r="110" spans="2:28" ht="16.5" customHeight="1" thickBot="1" x14ac:dyDescent="0.3">
      <c r="B110" s="86" t="str">
        <f>B109</f>
        <v>Tango_Duo</v>
      </c>
      <c r="C110" s="93" t="s">
        <v>58</v>
      </c>
      <c r="D110" s="217" t="e">
        <f ca="1">0.000001*INDIRECT($B110&amp;"!E9")</f>
        <v>#VALUE!</v>
      </c>
      <c r="E110" s="216"/>
      <c r="F110" s="86" t="str">
        <f>F109</f>
        <v>Tango_Duo</v>
      </c>
      <c r="G110" s="93" t="s">
        <v>58</v>
      </c>
      <c r="H110" s="217" t="e">
        <f ca="1">0.000001*INDIRECT($B110&amp;"!AC9")</f>
        <v>#VALUE!</v>
      </c>
      <c r="I110" s="9"/>
      <c r="J110" s="218" t="e">
        <f ca="1">H110/D110-1</f>
        <v>#VALUE!</v>
      </c>
      <c r="L110" s="65" t="str">
        <f ca="1">INDIRECT($B110&amp;"!"&amp;L$3&amp;"9")</f>
        <v/>
      </c>
      <c r="M110" s="66" t="str">
        <f ca="1">INDIRECT($B110&amp;"!"&amp;M$3&amp;"9")</f>
        <v/>
      </c>
      <c r="N110" s="67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6"/>
      <c r="AB110" s="220"/>
    </row>
    <row r="111" spans="2:28" ht="16.5" customHeight="1" x14ac:dyDescent="0.25">
      <c r="B111" s="80"/>
      <c r="C111" s="81"/>
      <c r="D111" s="222"/>
      <c r="F111" s="80"/>
      <c r="G111" s="81"/>
      <c r="H111" s="222"/>
      <c r="J111" s="69" t="e">
        <f ca="1">MIN(D106:D110,H106:H110)</f>
        <v>#VALUE!</v>
      </c>
      <c r="L111" s="70"/>
      <c r="M111" s="71"/>
      <c r="N111" s="72"/>
      <c r="O111" s="216"/>
      <c r="P111" s="205"/>
      <c r="Q111" s="216"/>
      <c r="R111" s="9"/>
      <c r="S111" s="9"/>
      <c r="T111" s="9"/>
      <c r="U111" s="9"/>
      <c r="V111" s="57"/>
      <c r="X111" s="6"/>
      <c r="Y111" s="6"/>
      <c r="Z111" s="56"/>
    </row>
    <row r="112" spans="2:28" ht="16.5" customHeight="1" thickBot="1" x14ac:dyDescent="0.3">
      <c r="B112" s="62"/>
      <c r="C112" s="63"/>
      <c r="D112" s="223"/>
      <c r="E112" s="216"/>
      <c r="F112" s="62"/>
      <c r="G112" s="63"/>
      <c r="H112" s="223"/>
      <c r="I112" s="9"/>
      <c r="J112" s="73" t="e">
        <f ca="1">MAX(D106:D110,H106:H110)</f>
        <v>#VALUE!</v>
      </c>
      <c r="L112" s="74">
        <f>L111</f>
        <v>0</v>
      </c>
      <c r="M112" s="75">
        <f>M111</f>
        <v>0</v>
      </c>
      <c r="N112" s="68"/>
      <c r="O112" s="216"/>
      <c r="P112" s="5"/>
      <c r="Q112" s="216"/>
      <c r="R112" s="9"/>
      <c r="S112" s="9"/>
      <c r="T112" s="9"/>
      <c r="U112" s="9"/>
      <c r="V112" s="57"/>
      <c r="X112" s="58"/>
      <c r="Y112" s="58"/>
      <c r="Z112" s="56"/>
    </row>
    <row r="113" spans="2:28" ht="18" customHeight="1" thickBot="1" x14ac:dyDescent="0.3">
      <c r="AB113" s="220"/>
    </row>
    <row r="114" spans="2:28" x14ac:dyDescent="0.25">
      <c r="B114" s="265" t="s">
        <v>31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205"/>
      <c r="L114" s="259" t="str">
        <f>F114</f>
        <v>Solo_Tango_Female</v>
      </c>
      <c r="M114" s="260"/>
      <c r="N114" s="261"/>
      <c r="O114" s="149"/>
      <c r="P114" s="205"/>
    </row>
    <row r="115" spans="2:28" x14ac:dyDescent="0.25">
      <c r="B115" s="262" t="s">
        <v>47</v>
      </c>
      <c r="C115" s="257"/>
      <c r="D115" s="61" t="s">
        <v>48</v>
      </c>
      <c r="E115" s="216"/>
      <c r="F115" s="262" t="s">
        <v>47</v>
      </c>
      <c r="G115" s="257"/>
      <c r="H115" s="61" t="s">
        <v>48</v>
      </c>
      <c r="I115" s="9"/>
      <c r="J115" s="203" t="s">
        <v>49</v>
      </c>
      <c r="L115" s="256" t="s">
        <v>50</v>
      </c>
      <c r="M115" s="257"/>
      <c r="N115" s="258"/>
      <c r="O115" s="59"/>
      <c r="P115" s="3"/>
    </row>
    <row r="116" spans="2:28" ht="16.5" customHeight="1" x14ac:dyDescent="0.25">
      <c r="B116" s="145" t="s">
        <v>0</v>
      </c>
      <c r="C116" s="93" t="s">
        <v>51</v>
      </c>
      <c r="D116" s="60" t="s">
        <v>52</v>
      </c>
      <c r="E116" s="216"/>
      <c r="F116" s="145" t="s">
        <v>0</v>
      </c>
      <c r="G116" s="93" t="s">
        <v>51</v>
      </c>
      <c r="H116" s="60" t="s">
        <v>52</v>
      </c>
      <c r="I116" s="9"/>
      <c r="J116" s="64"/>
      <c r="L116" s="146" t="str">
        <f>CONCATENATE(B$2," ",L114)</f>
        <v>MPEG151-octree Solo_Tango_Female</v>
      </c>
      <c r="M116" s="147" t="str">
        <f>CONCATENATE(F$2," ",L114)</f>
        <v>MPEG151-修改上下文 Solo_Tango_Female</v>
      </c>
      <c r="N116" s="148" t="s">
        <v>53</v>
      </c>
      <c r="O116" s="2"/>
      <c r="P116" s="3" t="s">
        <v>44</v>
      </c>
      <c r="AB116" s="220"/>
    </row>
    <row r="117" spans="2:28" x14ac:dyDescent="0.25">
      <c r="B117" s="86" t="str">
        <f>B114</f>
        <v>Solo_Tango_Female</v>
      </c>
      <c r="C117" s="93" t="s">
        <v>54</v>
      </c>
      <c r="D117" s="217" t="e">
        <f ca="1">0.000001*INDIRECT($B117&amp;"!E5")</f>
        <v>#VALUE!</v>
      </c>
      <c r="E117" s="216"/>
      <c r="F117" s="86" t="str">
        <f>F114</f>
        <v>Solo_Tango_Female</v>
      </c>
      <c r="G117" s="93" t="s">
        <v>54</v>
      </c>
      <c r="H117" s="217" t="e">
        <f ca="1">0.000001*INDIRECT($B117&amp;"!AC5")</f>
        <v>#VALUE!</v>
      </c>
      <c r="I117" s="9"/>
      <c r="J117" s="218" t="e">
        <f ca="1">H117/D117-1</f>
        <v>#VALUE!</v>
      </c>
      <c r="L117" s="65" t="str">
        <f ca="1">INDIRECT($B117&amp;"!"&amp;L$3&amp;"5")</f>
        <v/>
      </c>
      <c r="M117" s="66" t="str">
        <f ca="1">INDIRECT($B117&amp;"!"&amp;M$3&amp;"5")</f>
        <v/>
      </c>
      <c r="N117" s="67" t="e">
        <f ca="1">M117-L117</f>
        <v>#VALUE!</v>
      </c>
      <c r="O117" s="216"/>
      <c r="P117" s="218" t="e">
        <f ca="1">bdRateExtend(D117:D121,L117:L121,H117:H121,M117:M121)</f>
        <v>#VALUE!</v>
      </c>
    </row>
    <row r="118" spans="2:28" ht="16.5" customHeight="1" x14ac:dyDescent="0.25">
      <c r="B118" s="86" t="str">
        <f>B117</f>
        <v>Solo_Tango_Female</v>
      </c>
      <c r="C118" s="93" t="s">
        <v>55</v>
      </c>
      <c r="D118" s="217" t="e">
        <f ca="1">0.000001*INDIRECT($B118&amp;"!E6")</f>
        <v>#VALUE!</v>
      </c>
      <c r="E118" s="216"/>
      <c r="F118" s="86" t="str">
        <f>F117</f>
        <v>Solo_Tango_Female</v>
      </c>
      <c r="G118" s="93" t="s">
        <v>55</v>
      </c>
      <c r="H118" s="217" t="e">
        <f ca="1">0.000001*INDIRECT($B118&amp;"!AC6")</f>
        <v>#VALUE!</v>
      </c>
      <c r="I118" s="9"/>
      <c r="J118" s="218" t="e">
        <f ca="1">H118/D118-1</f>
        <v>#VALUE!</v>
      </c>
      <c r="L118" s="65" t="str">
        <f ca="1">INDIRECT($B118&amp;"!"&amp;L$3&amp;"6")</f>
        <v/>
      </c>
      <c r="M118" s="66" t="str">
        <f ca="1">INDIRECT($B118&amp;"!"&amp;M$3&amp;"6")</f>
        <v/>
      </c>
      <c r="N118" s="67" t="e">
        <f ca="1">M118-L118</f>
        <v>#VALUE!</v>
      </c>
      <c r="O118" s="216"/>
      <c r="P118" s="3"/>
    </row>
    <row r="119" spans="2:28" ht="16.5" customHeight="1" x14ac:dyDescent="0.25">
      <c r="B119" s="86" t="str">
        <f>B118</f>
        <v>Solo_Tango_Female</v>
      </c>
      <c r="C119" s="93" t="s">
        <v>56</v>
      </c>
      <c r="D119" s="217" t="e">
        <f ca="1">0.000001*INDIRECT($B119&amp;"!E7")</f>
        <v>#VALUE!</v>
      </c>
      <c r="E119" s="216"/>
      <c r="F119" s="86" t="str">
        <f>F118</f>
        <v>Solo_Tango_Female</v>
      </c>
      <c r="G119" s="93" t="s">
        <v>56</v>
      </c>
      <c r="H119" s="217" t="e">
        <f ca="1">0.000001*INDIRECT($B119&amp;"!AC7")</f>
        <v>#VALUE!</v>
      </c>
      <c r="I119" s="9"/>
      <c r="J119" s="218" t="e">
        <f ca="1">H119/D119-1</f>
        <v>#VALUE!</v>
      </c>
      <c r="L119" s="65" t="str">
        <f ca="1">INDIRECT($B119&amp;"!"&amp;L$3&amp;"7")</f>
        <v/>
      </c>
      <c r="M119" s="66" t="str">
        <f ca="1">INDIRECT($B119&amp;"!"&amp;M$3&amp;"7")</f>
        <v/>
      </c>
      <c r="N119" s="67" t="e">
        <f ca="1">M119-L119</f>
        <v>#VALUE!</v>
      </c>
      <c r="O119" s="216"/>
      <c r="P119" s="3"/>
    </row>
    <row r="120" spans="2:28" x14ac:dyDescent="0.25">
      <c r="B120" s="86" t="str">
        <f>B119</f>
        <v>Solo_Tango_Female</v>
      </c>
      <c r="C120" s="93" t="s">
        <v>57</v>
      </c>
      <c r="D120" s="217" t="e">
        <f ca="1">0.000001*INDIRECT($B120&amp;"!E8")</f>
        <v>#VALUE!</v>
      </c>
      <c r="E120" s="216"/>
      <c r="F120" s="86" t="str">
        <f>F119</f>
        <v>Solo_Tango_Female</v>
      </c>
      <c r="G120" s="93" t="s">
        <v>57</v>
      </c>
      <c r="H120" s="217" t="e">
        <f ca="1">0.000001*INDIRECT($B120&amp;"!AC8")</f>
        <v>#VALUE!</v>
      </c>
      <c r="I120" s="9"/>
      <c r="J120" s="218" t="e">
        <f ca="1">H120/D120-1</f>
        <v>#VALUE!</v>
      </c>
      <c r="L120" s="65" t="str">
        <f ca="1">INDIRECT($B120&amp;"!"&amp;L$3&amp;"8")</f>
        <v/>
      </c>
      <c r="M120" s="66" t="str">
        <f ca="1">INDIRECT($B120&amp;"!"&amp;M$3&amp;"8")</f>
        <v/>
      </c>
      <c r="N120" s="67" t="e">
        <f ca="1">M120-L120</f>
        <v>#VALUE!</v>
      </c>
      <c r="O120" s="216"/>
      <c r="P120" s="218"/>
    </row>
    <row r="121" spans="2:28" ht="18" customHeight="1" thickBot="1" x14ac:dyDescent="0.3">
      <c r="B121" s="86" t="str">
        <f>B120</f>
        <v>Solo_Tango_Female</v>
      </c>
      <c r="C121" s="93" t="s">
        <v>58</v>
      </c>
      <c r="D121" s="217" t="e">
        <f ca="1">0.000001*INDIRECT($B121&amp;"!E9")</f>
        <v>#VALUE!</v>
      </c>
      <c r="E121" s="216"/>
      <c r="F121" s="86" t="str">
        <f>F120</f>
        <v>Solo_Tango_Female</v>
      </c>
      <c r="G121" s="93" t="s">
        <v>58</v>
      </c>
      <c r="H121" s="217" t="e">
        <f ca="1">0.000001*INDIRECT($B121&amp;"!AC9")</f>
        <v>#VALUE!</v>
      </c>
      <c r="I121" s="9"/>
      <c r="J121" s="218" t="e">
        <f ca="1">H121/D121-1</f>
        <v>#VALUE!</v>
      </c>
      <c r="L121" s="65" t="str">
        <f ca="1">INDIRECT($B121&amp;"!"&amp;L$3&amp;"9")</f>
        <v/>
      </c>
      <c r="M121" s="66" t="str">
        <f ca="1">INDIRECT($B121&amp;"!"&amp;M$3&amp;"9")</f>
        <v/>
      </c>
      <c r="N121" s="67" t="e">
        <f ca="1">M121-L121</f>
        <v>#VALUE!</v>
      </c>
      <c r="O121" s="216"/>
      <c r="P121" s="221"/>
    </row>
    <row r="122" spans="2:28" x14ac:dyDescent="0.25">
      <c r="B122" s="80"/>
      <c r="C122" s="81"/>
      <c r="D122" s="222"/>
      <c r="F122" s="80"/>
      <c r="G122" s="81"/>
      <c r="H122" s="222"/>
      <c r="J122" s="69" t="e">
        <f ca="1">MIN(D117:D121,H117:H121)</f>
        <v>#VALUE!</v>
      </c>
      <c r="L122" s="70"/>
      <c r="M122" s="71"/>
      <c r="N122" s="72"/>
      <c r="O122" s="216"/>
      <c r="P122" s="205"/>
    </row>
    <row r="123" spans="2:28" ht="18" customHeight="1" thickBot="1" x14ac:dyDescent="0.3">
      <c r="B123" s="62"/>
      <c r="C123" s="63"/>
      <c r="D123" s="223"/>
      <c r="E123" s="216"/>
      <c r="F123" s="62"/>
      <c r="G123" s="63"/>
      <c r="H123" s="223"/>
      <c r="I123" s="9"/>
      <c r="J123" s="73" t="e">
        <f ca="1">MAX(D117:D121,H117:H121)</f>
        <v>#VALUE!</v>
      </c>
      <c r="L123" s="74">
        <f>L122</f>
        <v>0</v>
      </c>
      <c r="M123" s="75">
        <f>M122</f>
        <v>0</v>
      </c>
      <c r="N123" s="68"/>
      <c r="O123" s="216"/>
      <c r="P123" s="5"/>
      <c r="AB123" s="220"/>
    </row>
    <row r="124" spans="2:28" ht="18" customHeight="1" thickBot="1" x14ac:dyDescent="0.3"/>
    <row r="125" spans="2:28" x14ac:dyDescent="0.25">
      <c r="B125" s="265" t="s">
        <v>32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205"/>
      <c r="L125" s="259" t="str">
        <f>F125</f>
        <v>Solo_Tango_Male</v>
      </c>
      <c r="M125" s="260"/>
      <c r="N125" s="261"/>
      <c r="O125" s="149"/>
      <c r="P125" s="205"/>
    </row>
    <row r="126" spans="2:28" ht="16.5" customHeight="1" x14ac:dyDescent="0.25">
      <c r="B126" s="262" t="s">
        <v>47</v>
      </c>
      <c r="C126" s="257"/>
      <c r="D126" s="61" t="s">
        <v>48</v>
      </c>
      <c r="E126" s="216"/>
      <c r="F126" s="262" t="s">
        <v>47</v>
      </c>
      <c r="G126" s="257"/>
      <c r="H126" s="61" t="s">
        <v>48</v>
      </c>
      <c r="I126" s="9"/>
      <c r="J126" s="203" t="s">
        <v>49</v>
      </c>
      <c r="L126" s="256" t="s">
        <v>50</v>
      </c>
      <c r="M126" s="257"/>
      <c r="N126" s="258"/>
      <c r="O126" s="59"/>
      <c r="P126" s="3"/>
      <c r="AB126" s="220"/>
    </row>
    <row r="127" spans="2:28" x14ac:dyDescent="0.25">
      <c r="B127" s="145" t="s">
        <v>0</v>
      </c>
      <c r="C127" s="93" t="s">
        <v>51</v>
      </c>
      <c r="D127" s="60" t="s">
        <v>52</v>
      </c>
      <c r="E127" s="216"/>
      <c r="F127" s="145" t="s">
        <v>0</v>
      </c>
      <c r="G127" s="93" t="s">
        <v>51</v>
      </c>
      <c r="H127" s="60" t="s">
        <v>52</v>
      </c>
      <c r="I127" s="9"/>
      <c r="J127" s="64"/>
      <c r="L127" s="146" t="str">
        <f>CONCATENATE(B$2," ",L125)</f>
        <v>MPEG151-octree Solo_Tango_Male</v>
      </c>
      <c r="M127" s="147" t="str">
        <f>CONCATENATE(F$2," ",L125)</f>
        <v>MPEG151-修改上下文 Solo_Tango_Male</v>
      </c>
      <c r="N127" s="148" t="s">
        <v>53</v>
      </c>
      <c r="O127" s="2"/>
      <c r="P127" s="3" t="s">
        <v>44</v>
      </c>
    </row>
    <row r="128" spans="2:28" ht="16.5" customHeight="1" x14ac:dyDescent="0.25">
      <c r="B128" s="86" t="str">
        <f>B125</f>
        <v>Solo_Tango_Male</v>
      </c>
      <c r="C128" s="93" t="s">
        <v>54</v>
      </c>
      <c r="D128" s="217" t="e">
        <f ca="1">0.000001*INDIRECT($B128&amp;"!E5")</f>
        <v>#VALUE!</v>
      </c>
      <c r="E128" s="216"/>
      <c r="F128" s="86" t="str">
        <f>F125</f>
        <v>Solo_Tango_Male</v>
      </c>
      <c r="G128" s="93" t="s">
        <v>54</v>
      </c>
      <c r="H128" s="217" t="e">
        <f ca="1">0.000001*INDIRECT($B128&amp;"!AC5")</f>
        <v>#VALUE!</v>
      </c>
      <c r="I128" s="9"/>
      <c r="J128" s="218" t="e">
        <f ca="1">H128/D128-1</f>
        <v>#VALUE!</v>
      </c>
      <c r="L128" s="65" t="str">
        <f ca="1">INDIRECT($B128&amp;"!"&amp;L$3&amp;"5")</f>
        <v/>
      </c>
      <c r="M128" s="66" t="str">
        <f ca="1">INDIRECT($B128&amp;"!"&amp;M$3&amp;"5")</f>
        <v/>
      </c>
      <c r="N128" s="67" t="e">
        <f ca="1">M128-L128</f>
        <v>#VALUE!</v>
      </c>
      <c r="O128" s="216"/>
      <c r="P128" s="218" t="e">
        <f ca="1">bdRateExtend(D128:D132,L128:L132,H128:H132,M128:M132)</f>
        <v>#VALUE!</v>
      </c>
    </row>
    <row r="129" spans="2:28" ht="16.5" customHeight="1" x14ac:dyDescent="0.25">
      <c r="B129" s="86" t="str">
        <f>B128</f>
        <v>Solo_Tango_Male</v>
      </c>
      <c r="C129" s="93" t="s">
        <v>55</v>
      </c>
      <c r="D129" s="217" t="e">
        <f ca="1">0.000001*INDIRECT($B129&amp;"!E6")</f>
        <v>#VALUE!</v>
      </c>
      <c r="E129" s="216"/>
      <c r="F129" s="86" t="str">
        <f>F128</f>
        <v>Solo_Tango_Male</v>
      </c>
      <c r="G129" s="93" t="s">
        <v>55</v>
      </c>
      <c r="H129" s="217" t="e">
        <f ca="1">0.000001*INDIRECT($B129&amp;"!AC6")</f>
        <v>#VALUE!</v>
      </c>
      <c r="I129" s="9"/>
      <c r="J129" s="218" t="e">
        <f ca="1">H129/D129-1</f>
        <v>#VALUE!</v>
      </c>
      <c r="L129" s="65" t="str">
        <f ca="1">INDIRECT($B129&amp;"!"&amp;L$3&amp;"6")</f>
        <v/>
      </c>
      <c r="M129" s="66" t="str">
        <f ca="1">INDIRECT($B129&amp;"!"&amp;M$3&amp;"6")</f>
        <v/>
      </c>
      <c r="N129" s="67" t="e">
        <f ca="1">M129-L129</f>
        <v>#VALUE!</v>
      </c>
      <c r="O129" s="216"/>
      <c r="P129" s="3"/>
    </row>
    <row r="130" spans="2:28" x14ac:dyDescent="0.25">
      <c r="B130" s="86" t="str">
        <f>B129</f>
        <v>Solo_Tango_Male</v>
      </c>
      <c r="C130" s="93" t="s">
        <v>56</v>
      </c>
      <c r="D130" s="217" t="e">
        <f ca="1">0.000001*INDIRECT($B130&amp;"!E7")</f>
        <v>#VALUE!</v>
      </c>
      <c r="E130" s="216"/>
      <c r="F130" s="86" t="str">
        <f>F129</f>
        <v>Solo_Tango_Male</v>
      </c>
      <c r="G130" s="93" t="s">
        <v>56</v>
      </c>
      <c r="H130" s="217" t="e">
        <f ca="1">0.000001*INDIRECT($B130&amp;"!AC7")</f>
        <v>#VALUE!</v>
      </c>
      <c r="I130" s="9"/>
      <c r="J130" s="218" t="e">
        <f ca="1">H130/D130-1</f>
        <v>#VALUE!</v>
      </c>
      <c r="L130" s="65" t="str">
        <f ca="1">INDIRECT($B130&amp;"!"&amp;L$3&amp;"7")</f>
        <v/>
      </c>
      <c r="M130" s="66" t="str">
        <f ca="1">INDIRECT($B130&amp;"!"&amp;M$3&amp;"7")</f>
        <v/>
      </c>
      <c r="N130" s="67" t="e">
        <f ca="1">M130-L130</f>
        <v>#VALUE!</v>
      </c>
      <c r="O130" s="216"/>
      <c r="P130" s="3"/>
    </row>
    <row r="131" spans="2:28" x14ac:dyDescent="0.25">
      <c r="B131" s="86" t="str">
        <f>B130</f>
        <v>Solo_Tango_Male</v>
      </c>
      <c r="C131" s="93" t="s">
        <v>57</v>
      </c>
      <c r="D131" s="217" t="e">
        <f ca="1">0.000001*INDIRECT($B131&amp;"!E8")</f>
        <v>#VALUE!</v>
      </c>
      <c r="E131" s="216"/>
      <c r="F131" s="86" t="str">
        <f>F130</f>
        <v>Solo_Tango_Male</v>
      </c>
      <c r="G131" s="93" t="s">
        <v>57</v>
      </c>
      <c r="H131" s="217" t="e">
        <f ca="1">0.000001*INDIRECT($B131&amp;"!AC8")</f>
        <v>#VALUE!</v>
      </c>
      <c r="I131" s="9"/>
      <c r="J131" s="218" t="e">
        <f ca="1">H131/D131-1</f>
        <v>#VALUE!</v>
      </c>
      <c r="L131" s="65" t="str">
        <f ca="1">INDIRECT($B131&amp;"!"&amp;L$3&amp;"8")</f>
        <v/>
      </c>
      <c r="M131" s="66" t="str">
        <f ca="1">INDIRECT($B131&amp;"!"&amp;M$3&amp;"8")</f>
        <v/>
      </c>
      <c r="N131" s="67" t="e">
        <f ca="1">M131-L131</f>
        <v>#VALUE!</v>
      </c>
      <c r="O131" s="216"/>
      <c r="P131" s="218"/>
    </row>
    <row r="132" spans="2:28" ht="18" customHeight="1" thickBot="1" x14ac:dyDescent="0.3">
      <c r="B132" s="86" t="str">
        <f>B131</f>
        <v>Solo_Tango_Male</v>
      </c>
      <c r="C132" s="93" t="s">
        <v>58</v>
      </c>
      <c r="D132" s="217" t="e">
        <f ca="1">0.000001*INDIRECT($B132&amp;"!E9")</f>
        <v>#VALUE!</v>
      </c>
      <c r="E132" s="216"/>
      <c r="F132" s="86" t="str">
        <f>F131</f>
        <v>Solo_Tango_Male</v>
      </c>
      <c r="G132" s="93" t="s">
        <v>58</v>
      </c>
      <c r="H132" s="217" t="e">
        <f ca="1">0.000001*INDIRECT($B132&amp;"!AC9")</f>
        <v>#VALUE!</v>
      </c>
      <c r="I132" s="9"/>
      <c r="J132" s="218" t="e">
        <f ca="1">H132/D132-1</f>
        <v>#VALUE!</v>
      </c>
      <c r="L132" s="65" t="str">
        <f ca="1">INDIRECT($B132&amp;"!"&amp;L$3&amp;"9")</f>
        <v/>
      </c>
      <c r="M132" s="66" t="str">
        <f ca="1">INDIRECT($B132&amp;"!"&amp;M$3&amp;"9")</f>
        <v/>
      </c>
      <c r="N132" s="67" t="e">
        <f ca="1">M132-L132</f>
        <v>#VALUE!</v>
      </c>
      <c r="O132" s="216"/>
      <c r="P132" s="221"/>
    </row>
    <row r="133" spans="2:28" x14ac:dyDescent="0.25">
      <c r="B133" s="80"/>
      <c r="C133" s="81"/>
      <c r="D133" s="222"/>
      <c r="F133" s="80"/>
      <c r="G133" s="81"/>
      <c r="H133" s="222"/>
      <c r="J133" s="69" t="e">
        <f ca="1">MIN(D128:D132,H128:H132)</f>
        <v>#VALUE!</v>
      </c>
      <c r="L133" s="70"/>
      <c r="M133" s="71"/>
      <c r="N133" s="72"/>
      <c r="O133" s="216"/>
      <c r="P133" s="205"/>
      <c r="AB133" s="220"/>
    </row>
    <row r="134" spans="2:28" ht="18" customHeight="1" thickBot="1" x14ac:dyDescent="0.3">
      <c r="B134" s="62"/>
      <c r="C134" s="63"/>
      <c r="D134" s="223"/>
      <c r="E134" s="216"/>
      <c r="F134" s="62"/>
      <c r="G134" s="63"/>
      <c r="H134" s="223"/>
      <c r="I134" s="9"/>
      <c r="J134" s="73" t="e">
        <f ca="1">MAX(D128:D132,H128:H132)</f>
        <v>#VALUE!</v>
      </c>
      <c r="L134" s="74">
        <f>L133</f>
        <v>0</v>
      </c>
      <c r="M134" s="75">
        <f>M133</f>
        <v>0</v>
      </c>
      <c r="N134" s="68"/>
      <c r="O134" s="216"/>
      <c r="P134" s="5"/>
    </row>
    <row r="135" spans="2:28" ht="18" customHeight="1" thickBot="1" x14ac:dyDescent="0.3"/>
    <row r="136" spans="2:28" ht="16.5" customHeight="1" x14ac:dyDescent="0.25">
      <c r="B136" s="265" t="s">
        <v>33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205"/>
      <c r="L136" s="259" t="str">
        <f>F136</f>
        <v>BlueBackpack_UVGgs_0100</v>
      </c>
      <c r="M136" s="260"/>
      <c r="N136" s="261"/>
      <c r="O136" s="149"/>
      <c r="P136" s="205"/>
      <c r="AB136" s="220"/>
    </row>
    <row r="137" spans="2:28" x14ac:dyDescent="0.25">
      <c r="B137" s="262" t="s">
        <v>47</v>
      </c>
      <c r="C137" s="257"/>
      <c r="D137" s="61" t="s">
        <v>48</v>
      </c>
      <c r="E137" s="216"/>
      <c r="F137" s="262" t="s">
        <v>47</v>
      </c>
      <c r="G137" s="257"/>
      <c r="H137" s="61" t="s">
        <v>48</v>
      </c>
      <c r="I137" s="9"/>
      <c r="J137" s="203" t="s">
        <v>49</v>
      </c>
      <c r="L137" s="256" t="s">
        <v>50</v>
      </c>
      <c r="M137" s="257"/>
      <c r="N137" s="258"/>
      <c r="O137" s="59"/>
      <c r="P137" s="3"/>
    </row>
    <row r="138" spans="2:28" ht="16.5" customHeight="1" x14ac:dyDescent="0.25">
      <c r="B138" s="145" t="s">
        <v>0</v>
      </c>
      <c r="C138" s="93" t="s">
        <v>51</v>
      </c>
      <c r="D138" s="60" t="s">
        <v>52</v>
      </c>
      <c r="E138" s="216"/>
      <c r="F138" s="145" t="s">
        <v>0</v>
      </c>
      <c r="G138" s="93" t="s">
        <v>51</v>
      </c>
      <c r="H138" s="60" t="s">
        <v>52</v>
      </c>
      <c r="I138" s="9"/>
      <c r="J138" s="64"/>
      <c r="L138" s="146" t="str">
        <f>CONCATENATE(B$2," ",L136)</f>
        <v>MPEG151-octree BlueBackpack_UVGgs_0100</v>
      </c>
      <c r="M138" s="147" t="str">
        <f>CONCATENATE(F$2," ",L136)</f>
        <v>MPEG151-修改上下文 BlueBackpack_UVGgs_0100</v>
      </c>
      <c r="N138" s="148" t="s">
        <v>53</v>
      </c>
      <c r="O138" s="2"/>
      <c r="P138" s="3" t="s">
        <v>44</v>
      </c>
    </row>
    <row r="139" spans="2:28" ht="16.5" customHeight="1" x14ac:dyDescent="0.25">
      <c r="B139" s="86" t="str">
        <f>B136</f>
        <v>BlueBackpack_UVGgs_0100</v>
      </c>
      <c r="C139" s="93" t="s">
        <v>54</v>
      </c>
      <c r="D139" s="217" t="e">
        <f ca="1">0.000001*INDIRECT($B139&amp;"!E5")</f>
        <v>#VALUE!</v>
      </c>
      <c r="E139" s="216"/>
      <c r="F139" s="86" t="str">
        <f>F136</f>
        <v>BlueBackpack_UVGgs_0100</v>
      </c>
      <c r="G139" s="93" t="s">
        <v>54</v>
      </c>
      <c r="H139" s="217" t="e">
        <f ca="1">0.000001*INDIRECT($B139&amp;"!AC5")</f>
        <v>#VALUE!</v>
      </c>
      <c r="I139" s="9"/>
      <c r="J139" s="218" t="e">
        <f ca="1">H139/D139-1</f>
        <v>#VALUE!</v>
      </c>
      <c r="L139" s="65" t="str">
        <f ca="1">INDIRECT($B139&amp;"!"&amp;L$3&amp;"5")</f>
        <v/>
      </c>
      <c r="M139" s="66" t="str">
        <f ca="1">INDIRECT($B139&amp;"!"&amp;M$3&amp;"5")</f>
        <v/>
      </c>
      <c r="N139" s="67" t="e">
        <f ca="1">M139-L139</f>
        <v>#VALUE!</v>
      </c>
      <c r="O139" s="216"/>
      <c r="P139" s="218" t="e">
        <f ca="1">bdRateExtend(D139:D143,L139:L143,H139:H143,M139:M143)</f>
        <v>#VALUE!</v>
      </c>
    </row>
    <row r="140" spans="2:28" x14ac:dyDescent="0.25">
      <c r="B140" s="86" t="str">
        <f>B139</f>
        <v>BlueBackpack_UVGgs_0100</v>
      </c>
      <c r="C140" s="93" t="s">
        <v>55</v>
      </c>
      <c r="D140" s="217" t="e">
        <f ca="1">0.000001*INDIRECT($B140&amp;"!E6")</f>
        <v>#VALUE!</v>
      </c>
      <c r="E140" s="216"/>
      <c r="F140" s="86" t="str">
        <f>F139</f>
        <v>BlueBackpack_UVGgs_0100</v>
      </c>
      <c r="G140" s="93" t="s">
        <v>55</v>
      </c>
      <c r="H140" s="217" t="e">
        <f ca="1">0.000001*INDIRECT($B140&amp;"!AC6")</f>
        <v>#VALUE!</v>
      </c>
      <c r="I140" s="9"/>
      <c r="J140" s="218" t="e">
        <f ca="1">H140/D140-1</f>
        <v>#VALUE!</v>
      </c>
      <c r="L140" s="65" t="str">
        <f ca="1">INDIRECT($B140&amp;"!"&amp;L$3&amp;"6")</f>
        <v/>
      </c>
      <c r="M140" s="66" t="str">
        <f ca="1">INDIRECT($B140&amp;"!"&amp;M$3&amp;"6")</f>
        <v/>
      </c>
      <c r="N140" s="67" t="e">
        <f ca="1">M140-L140</f>
        <v>#VALUE!</v>
      </c>
      <c r="O140" s="216"/>
      <c r="P140" s="3"/>
    </row>
    <row r="141" spans="2:28" x14ac:dyDescent="0.25">
      <c r="B141" s="86" t="str">
        <f>B140</f>
        <v>BlueBackpack_UVGgs_0100</v>
      </c>
      <c r="C141" s="93" t="s">
        <v>56</v>
      </c>
      <c r="D141" s="217" t="e">
        <f ca="1">0.000001*INDIRECT($B141&amp;"!E7")</f>
        <v>#VALUE!</v>
      </c>
      <c r="E141" s="216"/>
      <c r="F141" s="86" t="str">
        <f>F140</f>
        <v>BlueBackpack_UVGgs_0100</v>
      </c>
      <c r="G141" s="93" t="s">
        <v>56</v>
      </c>
      <c r="H141" s="217" t="e">
        <f ca="1">0.000001*INDIRECT($B141&amp;"!AC7")</f>
        <v>#VALUE!</v>
      </c>
      <c r="I141" s="9"/>
      <c r="J141" s="218" t="e">
        <f ca="1">H141/D141-1</f>
        <v>#VALUE!</v>
      </c>
      <c r="L141" s="65" t="str">
        <f ca="1">INDIRECT($B141&amp;"!"&amp;L$3&amp;"7")</f>
        <v/>
      </c>
      <c r="M141" s="66" t="str">
        <f ca="1">INDIRECT($B141&amp;"!"&amp;M$3&amp;"7")</f>
        <v/>
      </c>
      <c r="N141" s="67" t="e">
        <f ca="1">M141-L141</f>
        <v>#VALUE!</v>
      </c>
      <c r="O141" s="216"/>
      <c r="P141" s="3"/>
    </row>
    <row r="142" spans="2:28" x14ac:dyDescent="0.25">
      <c r="B142" s="86" t="str">
        <f>B141</f>
        <v>BlueBackpack_UVGgs_0100</v>
      </c>
      <c r="C142" s="93" t="s">
        <v>57</v>
      </c>
      <c r="D142" s="217" t="e">
        <f ca="1">0.000001*INDIRECT($B142&amp;"!E8")</f>
        <v>#VALUE!</v>
      </c>
      <c r="E142" s="216"/>
      <c r="F142" s="86" t="str">
        <f>F141</f>
        <v>BlueBackpack_UVGgs_0100</v>
      </c>
      <c r="G142" s="93" t="s">
        <v>57</v>
      </c>
      <c r="H142" s="217" t="e">
        <f ca="1">0.000001*INDIRECT($B142&amp;"!AC8")</f>
        <v>#VALUE!</v>
      </c>
      <c r="I142" s="9"/>
      <c r="J142" s="218" t="e">
        <f ca="1">H142/D142-1</f>
        <v>#VALUE!</v>
      </c>
      <c r="L142" s="65" t="str">
        <f ca="1">INDIRECT($B142&amp;"!"&amp;L$3&amp;"8")</f>
        <v/>
      </c>
      <c r="M142" s="66" t="str">
        <f ca="1">INDIRECT($B142&amp;"!"&amp;M$3&amp;"8")</f>
        <v/>
      </c>
      <c r="N142" s="67" t="e">
        <f ca="1">M142-L142</f>
        <v>#VALUE!</v>
      </c>
      <c r="O142" s="216"/>
      <c r="P142" s="218"/>
    </row>
    <row r="143" spans="2:28" ht="18" customHeight="1" thickBot="1" x14ac:dyDescent="0.3">
      <c r="B143" s="86" t="str">
        <f>B142</f>
        <v>BlueBackpack_UVGgs_0100</v>
      </c>
      <c r="C143" s="93" t="s">
        <v>58</v>
      </c>
      <c r="D143" s="217" t="e">
        <f ca="1">0.000001*INDIRECT($B143&amp;"!E9")</f>
        <v>#VALUE!</v>
      </c>
      <c r="E143" s="216"/>
      <c r="F143" s="86" t="str">
        <f>F142</f>
        <v>BlueBackpack_UVGgs_0100</v>
      </c>
      <c r="G143" s="93" t="s">
        <v>58</v>
      </c>
      <c r="H143" s="217" t="e">
        <f ca="1">0.000001*INDIRECT($B143&amp;"!AC9")</f>
        <v>#VALUE!</v>
      </c>
      <c r="I143" s="9"/>
      <c r="J143" s="218" t="e">
        <f ca="1">H143/D143-1</f>
        <v>#VALUE!</v>
      </c>
      <c r="L143" s="65" t="str">
        <f ca="1">INDIRECT($B143&amp;"!"&amp;L$3&amp;"9")</f>
        <v/>
      </c>
      <c r="M143" s="66" t="str">
        <f ca="1">INDIRECT($B143&amp;"!"&amp;M$3&amp;"9")</f>
        <v/>
      </c>
      <c r="N143" s="67" t="e">
        <f ca="1">M143-L143</f>
        <v>#VALUE!</v>
      </c>
      <c r="O143" s="216"/>
      <c r="P143" s="221"/>
      <c r="AB143" s="220"/>
    </row>
    <row r="144" spans="2:28" x14ac:dyDescent="0.25">
      <c r="B144" s="80"/>
      <c r="C144" s="81"/>
      <c r="D144" s="222"/>
      <c r="F144" s="80"/>
      <c r="G144" s="81"/>
      <c r="H144" s="222"/>
      <c r="J144" s="69" t="e">
        <f ca="1">MIN(D139:D143,H139:H143)</f>
        <v>#VALUE!</v>
      </c>
      <c r="L144" s="70"/>
      <c r="M144" s="71"/>
      <c r="N144" s="72"/>
      <c r="O144" s="216"/>
      <c r="P144" s="205"/>
    </row>
    <row r="145" spans="2:28" ht="18" customHeight="1" thickBot="1" x14ac:dyDescent="0.3">
      <c r="B145" s="62"/>
      <c r="C145" s="63"/>
      <c r="D145" s="223"/>
      <c r="E145" s="216"/>
      <c r="F145" s="62"/>
      <c r="G145" s="63"/>
      <c r="H145" s="223"/>
      <c r="I145" s="9"/>
      <c r="J145" s="73" t="e">
        <f ca="1">MAX(D139:D143,H139:H143)</f>
        <v>#VALUE!</v>
      </c>
      <c r="L145" s="74">
        <f>L144</f>
        <v>0</v>
      </c>
      <c r="M145" s="75">
        <f>M144</f>
        <v>0</v>
      </c>
      <c r="N145" s="68"/>
      <c r="O145" s="216"/>
      <c r="P145" s="5"/>
    </row>
    <row r="146" spans="2:28" ht="16.5" customHeight="1" thickBot="1" x14ac:dyDescent="0.3">
      <c r="B146" s="83"/>
      <c r="C146" s="83"/>
      <c r="D146" s="224"/>
      <c r="E146" s="216"/>
      <c r="F146" s="83"/>
      <c r="G146" s="83"/>
      <c r="H146" s="224"/>
      <c r="I146" s="9"/>
      <c r="J146" s="163"/>
      <c r="L146" s="164"/>
      <c r="M146" s="164"/>
      <c r="N146" s="165"/>
      <c r="O146" s="216"/>
      <c r="P146" s="206"/>
      <c r="AB146" s="220"/>
    </row>
    <row r="147" spans="2:28" x14ac:dyDescent="0.25">
      <c r="B147" s="265" t="s">
        <v>34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205"/>
      <c r="L147" s="259" t="str">
        <f>F147</f>
        <v>BlueBackpack_UVGgs_0200</v>
      </c>
      <c r="M147" s="260"/>
      <c r="N147" s="261"/>
      <c r="O147" s="149"/>
      <c r="P147" s="205"/>
    </row>
    <row r="148" spans="2:28" ht="16.5" customHeight="1" x14ac:dyDescent="0.25">
      <c r="B148" s="262" t="s">
        <v>47</v>
      </c>
      <c r="C148" s="257"/>
      <c r="D148" s="61" t="s">
        <v>48</v>
      </c>
      <c r="E148" s="216"/>
      <c r="F148" s="262" t="s">
        <v>47</v>
      </c>
      <c r="G148" s="257"/>
      <c r="H148" s="61" t="s">
        <v>48</v>
      </c>
      <c r="I148" s="9"/>
      <c r="J148" s="203" t="s">
        <v>49</v>
      </c>
      <c r="L148" s="256" t="s">
        <v>50</v>
      </c>
      <c r="M148" s="257"/>
      <c r="N148" s="258"/>
      <c r="O148" s="59"/>
      <c r="P148" s="3"/>
    </row>
    <row r="149" spans="2:28" ht="16.5" customHeight="1" x14ac:dyDescent="0.25">
      <c r="B149" s="145" t="s">
        <v>0</v>
      </c>
      <c r="C149" s="93" t="s">
        <v>51</v>
      </c>
      <c r="D149" s="60" t="s">
        <v>52</v>
      </c>
      <c r="E149" s="216"/>
      <c r="F149" s="145" t="s">
        <v>0</v>
      </c>
      <c r="G149" s="93" t="s">
        <v>51</v>
      </c>
      <c r="H149" s="60" t="s">
        <v>52</v>
      </c>
      <c r="I149" s="9"/>
      <c r="J149" s="64"/>
      <c r="L149" s="146" t="str">
        <f>CONCATENATE(B$2," ",L147)</f>
        <v>MPEG151-octree BlueBackpack_UVGgs_0200</v>
      </c>
      <c r="M149" s="147" t="str">
        <f>CONCATENATE(F$2," ",L147)</f>
        <v>MPEG151-修改上下文 BlueBackpack_UVGgs_0200</v>
      </c>
      <c r="N149" s="148" t="s">
        <v>53</v>
      </c>
      <c r="O149" s="2"/>
      <c r="P149" s="3" t="s">
        <v>44</v>
      </c>
    </row>
    <row r="150" spans="2:28" x14ac:dyDescent="0.25">
      <c r="B150" s="86" t="str">
        <f>B147</f>
        <v>BlueBackpack_UVGgs_0200</v>
      </c>
      <c r="C150" s="93" t="s">
        <v>54</v>
      </c>
      <c r="D150" s="217" t="e">
        <f ca="1">0.000001*INDIRECT($B150&amp;"!E5")</f>
        <v>#VALUE!</v>
      </c>
      <c r="E150" s="216"/>
      <c r="F150" s="86" t="str">
        <f>F147</f>
        <v>BlueBackpack_UVGgs_0200</v>
      </c>
      <c r="G150" s="93" t="s">
        <v>54</v>
      </c>
      <c r="H150" s="217" t="e">
        <f ca="1">0.000001*INDIRECT($B150&amp;"!AC5")</f>
        <v>#VALUE!</v>
      </c>
      <c r="I150" s="9"/>
      <c r="J150" s="218" t="e">
        <f ca="1">H150/D150-1</f>
        <v>#VALUE!</v>
      </c>
      <c r="L150" s="65" t="str">
        <f ca="1">INDIRECT($B150&amp;"!"&amp;L$3&amp;"5")</f>
        <v/>
      </c>
      <c r="M150" s="66" t="str">
        <f ca="1">INDIRECT($B150&amp;"!"&amp;M$3&amp;"5")</f>
        <v/>
      </c>
      <c r="N150" s="67" t="e">
        <f ca="1">M150-L150</f>
        <v>#VALUE!</v>
      </c>
      <c r="O150" s="216"/>
      <c r="P150" s="218" t="e">
        <f ca="1">bdRateExtend(D150:D154,L150:L154,H150:H154,M150:M154)</f>
        <v>#VALUE!</v>
      </c>
    </row>
    <row r="151" spans="2:28" x14ac:dyDescent="0.25">
      <c r="B151" s="86" t="str">
        <f>B150</f>
        <v>BlueBackpack_UVGgs_0200</v>
      </c>
      <c r="C151" s="93" t="s">
        <v>55</v>
      </c>
      <c r="D151" s="217" t="e">
        <f ca="1">0.000001*INDIRECT($B151&amp;"!E6")</f>
        <v>#VALUE!</v>
      </c>
      <c r="E151" s="216"/>
      <c r="F151" s="86" t="str">
        <f>F150</f>
        <v>BlueBackpack_UVGgs_0200</v>
      </c>
      <c r="G151" s="93" t="s">
        <v>55</v>
      </c>
      <c r="H151" s="217" t="e">
        <f ca="1">0.000001*INDIRECT($B151&amp;"!AC6")</f>
        <v>#VALUE!</v>
      </c>
      <c r="I151" s="9"/>
      <c r="J151" s="218" t="e">
        <f ca="1">H151/D151-1</f>
        <v>#VALUE!</v>
      </c>
      <c r="L151" s="65" t="str">
        <f ca="1">INDIRECT($B151&amp;"!"&amp;L$3&amp;"6")</f>
        <v/>
      </c>
      <c r="M151" s="66" t="str">
        <f ca="1">INDIRECT($B151&amp;"!"&amp;M$3&amp;"6")</f>
        <v/>
      </c>
      <c r="N151" s="67" t="e">
        <f ca="1">M151-L151</f>
        <v>#VALUE!</v>
      </c>
      <c r="O151" s="216"/>
      <c r="P151" s="3"/>
    </row>
    <row r="152" spans="2:28" x14ac:dyDescent="0.25">
      <c r="B152" s="86" t="str">
        <f>B151</f>
        <v>BlueBackpack_UVGgs_0200</v>
      </c>
      <c r="C152" s="93" t="s">
        <v>56</v>
      </c>
      <c r="D152" s="217" t="e">
        <f ca="1">0.000001*INDIRECT($B152&amp;"!E7")</f>
        <v>#VALUE!</v>
      </c>
      <c r="E152" s="216"/>
      <c r="F152" s="86" t="str">
        <f>F151</f>
        <v>BlueBackpack_UVGgs_0200</v>
      </c>
      <c r="G152" s="93" t="s">
        <v>56</v>
      </c>
      <c r="H152" s="217" t="e">
        <f ca="1">0.000001*INDIRECT($B152&amp;"!AC7")</f>
        <v>#VALUE!</v>
      </c>
      <c r="I152" s="9"/>
      <c r="J152" s="218" t="e">
        <f ca="1">H152/D152-1</f>
        <v>#VALUE!</v>
      </c>
      <c r="L152" s="65" t="str">
        <f ca="1">INDIRECT($B152&amp;"!"&amp;L$3&amp;"7")</f>
        <v/>
      </c>
      <c r="M152" s="66" t="str">
        <f ca="1">INDIRECT($B152&amp;"!"&amp;M$3&amp;"7")</f>
        <v/>
      </c>
      <c r="N152" s="67" t="e">
        <f ca="1">M152-L152</f>
        <v>#VALUE!</v>
      </c>
      <c r="O152" s="216"/>
      <c r="P152" s="3"/>
    </row>
    <row r="153" spans="2:28" x14ac:dyDescent="0.25">
      <c r="B153" s="86" t="str">
        <f>B152</f>
        <v>BlueBackpack_UVGgs_0200</v>
      </c>
      <c r="C153" s="93" t="s">
        <v>57</v>
      </c>
      <c r="D153" s="217" t="e">
        <f ca="1">0.000001*INDIRECT($B153&amp;"!E8")</f>
        <v>#VALUE!</v>
      </c>
      <c r="E153" s="216"/>
      <c r="F153" s="86" t="str">
        <f>F152</f>
        <v>BlueBackpack_UVGgs_0200</v>
      </c>
      <c r="G153" s="93" t="s">
        <v>57</v>
      </c>
      <c r="H153" s="217" t="e">
        <f ca="1">0.000001*INDIRECT($B153&amp;"!AC8")</f>
        <v>#VALUE!</v>
      </c>
      <c r="I153" s="9"/>
      <c r="J153" s="218" t="e">
        <f ca="1">H153/D153-1</f>
        <v>#VALUE!</v>
      </c>
      <c r="L153" s="65" t="str">
        <f ca="1">INDIRECT($B153&amp;"!"&amp;L$3&amp;"8")</f>
        <v/>
      </c>
      <c r="M153" s="66" t="str">
        <f ca="1">INDIRECT($B153&amp;"!"&amp;M$3&amp;"8")</f>
        <v/>
      </c>
      <c r="N153" s="67" t="e">
        <f ca="1">M153-L153</f>
        <v>#VALUE!</v>
      </c>
      <c r="O153" s="216"/>
      <c r="P153" s="218"/>
      <c r="AB153" s="220"/>
    </row>
    <row r="154" spans="2:28" ht="18" customHeight="1" thickBot="1" x14ac:dyDescent="0.3">
      <c r="B154" s="86" t="str">
        <f>B153</f>
        <v>BlueBackpack_UVGgs_0200</v>
      </c>
      <c r="C154" s="93" t="s">
        <v>58</v>
      </c>
      <c r="D154" s="217" t="e">
        <f ca="1">0.000001*INDIRECT($B154&amp;"!E9")</f>
        <v>#VALUE!</v>
      </c>
      <c r="E154" s="216"/>
      <c r="F154" s="86" t="str">
        <f>F153</f>
        <v>BlueBackpack_UVGgs_0200</v>
      </c>
      <c r="G154" s="93" t="s">
        <v>58</v>
      </c>
      <c r="H154" s="217" t="e">
        <f ca="1">0.000001*INDIRECT($B154&amp;"!AC9")</f>
        <v>#VALUE!</v>
      </c>
      <c r="I154" s="9"/>
      <c r="J154" s="218" t="e">
        <f ca="1">H154/D154-1</f>
        <v>#VALUE!</v>
      </c>
      <c r="L154" s="65" t="str">
        <f ca="1">INDIRECT($B154&amp;"!"&amp;L$3&amp;"9")</f>
        <v/>
      </c>
      <c r="M154" s="66" t="str">
        <f ca="1">INDIRECT($B154&amp;"!"&amp;M$3&amp;"9")</f>
        <v/>
      </c>
      <c r="N154" s="67" t="e">
        <f ca="1">M154-L154</f>
        <v>#VALUE!</v>
      </c>
      <c r="O154" s="216"/>
      <c r="P154" s="221"/>
    </row>
    <row r="155" spans="2:28" x14ac:dyDescent="0.25">
      <c r="B155" s="80"/>
      <c r="C155" s="81"/>
      <c r="D155" s="222"/>
      <c r="F155" s="80"/>
      <c r="G155" s="81"/>
      <c r="H155" s="222"/>
      <c r="J155" s="69" t="e">
        <f ca="1">MIN(D150:D154,H150:H154)</f>
        <v>#VALUE!</v>
      </c>
      <c r="L155" s="70"/>
      <c r="M155" s="71"/>
      <c r="N155" s="72"/>
      <c r="O155" s="216"/>
      <c r="P155" s="205"/>
    </row>
    <row r="156" spans="2:28" ht="16.5" customHeight="1" thickBot="1" x14ac:dyDescent="0.3">
      <c r="B156" s="62"/>
      <c r="C156" s="63"/>
      <c r="D156" s="223"/>
      <c r="E156" s="216"/>
      <c r="F156" s="62"/>
      <c r="G156" s="63"/>
      <c r="H156" s="223"/>
      <c r="I156" s="9"/>
      <c r="J156" s="73" t="e">
        <f ca="1">MAX(D150:D154,H150:H154)</f>
        <v>#VALUE!</v>
      </c>
      <c r="L156" s="74">
        <f>L155</f>
        <v>0</v>
      </c>
      <c r="M156" s="75">
        <f>M155</f>
        <v>0</v>
      </c>
      <c r="N156" s="68"/>
      <c r="O156" s="216"/>
      <c r="P156" s="5"/>
      <c r="AB156" s="220"/>
    </row>
    <row r="157" spans="2:28" ht="18" customHeight="1" thickBot="1" x14ac:dyDescent="0.3"/>
    <row r="158" spans="2:28" ht="16.5" customHeight="1" x14ac:dyDescent="0.25">
      <c r="B158" s="265" t="s">
        <v>35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205"/>
      <c r="L158" s="259" t="str">
        <f>F158</f>
        <v>FlowerDance_UVGgs_0000</v>
      </c>
      <c r="M158" s="260"/>
      <c r="N158" s="261"/>
      <c r="O158" s="149"/>
      <c r="P158" s="205"/>
    </row>
    <row r="159" spans="2:28" ht="16.5" customHeight="1" x14ac:dyDescent="0.25">
      <c r="B159" s="262" t="s">
        <v>47</v>
      </c>
      <c r="C159" s="257"/>
      <c r="D159" s="61" t="s">
        <v>48</v>
      </c>
      <c r="E159" s="216"/>
      <c r="F159" s="262" t="s">
        <v>47</v>
      </c>
      <c r="G159" s="257"/>
      <c r="H159" s="61" t="s">
        <v>48</v>
      </c>
      <c r="I159" s="9"/>
      <c r="J159" s="203" t="s">
        <v>49</v>
      </c>
      <c r="L159" s="256" t="s">
        <v>50</v>
      </c>
      <c r="M159" s="257"/>
      <c r="N159" s="258"/>
      <c r="O159" s="59"/>
      <c r="P159" s="3"/>
    </row>
    <row r="160" spans="2:28" x14ac:dyDescent="0.25">
      <c r="B160" s="145" t="s">
        <v>0</v>
      </c>
      <c r="C160" s="93" t="s">
        <v>51</v>
      </c>
      <c r="D160" s="60" t="s">
        <v>52</v>
      </c>
      <c r="E160" s="216"/>
      <c r="F160" s="145" t="s">
        <v>0</v>
      </c>
      <c r="G160" s="93" t="s">
        <v>51</v>
      </c>
      <c r="H160" s="60" t="s">
        <v>52</v>
      </c>
      <c r="I160" s="9"/>
      <c r="J160" s="64"/>
      <c r="L160" s="146" t="str">
        <f>CONCATENATE(B$2," ",L158)</f>
        <v>MPEG151-octree FlowerDance_UVGgs_0000</v>
      </c>
      <c r="M160" s="147" t="str">
        <f>CONCATENATE(F$2," ",L158)</f>
        <v>MPEG151-修改上下文 FlowerDance_UVGgs_0000</v>
      </c>
      <c r="N160" s="148" t="s">
        <v>53</v>
      </c>
      <c r="O160" s="2"/>
      <c r="P160" s="3" t="s">
        <v>44</v>
      </c>
    </row>
    <row r="161" spans="2:28" x14ac:dyDescent="0.25">
      <c r="B161" s="86" t="str">
        <f>B158</f>
        <v>FlowerDance_UVGgs_0000</v>
      </c>
      <c r="C161" s="93" t="s">
        <v>54</v>
      </c>
      <c r="D161" s="217" t="e">
        <f ca="1">0.000001*INDIRECT($B161&amp;"!E5")</f>
        <v>#VALUE!</v>
      </c>
      <c r="E161" s="216"/>
      <c r="F161" s="86" t="str">
        <f>F158</f>
        <v>FlowerDance_UVGgs_0000</v>
      </c>
      <c r="G161" s="93" t="s">
        <v>54</v>
      </c>
      <c r="H161" s="217" t="e">
        <f ca="1">0.000001*INDIRECT($B161&amp;"!AC5")</f>
        <v>#VALUE!</v>
      </c>
      <c r="I161" s="9"/>
      <c r="J161" s="218" t="e">
        <f ca="1">H161/D161-1</f>
        <v>#VALUE!</v>
      </c>
      <c r="L161" s="65" t="str">
        <f ca="1">INDIRECT($B161&amp;"!"&amp;L$3&amp;"5")</f>
        <v/>
      </c>
      <c r="M161" s="66" t="str">
        <f ca="1">INDIRECT($B161&amp;"!"&amp;M$3&amp;"5")</f>
        <v/>
      </c>
      <c r="N161" s="67" t="e">
        <f ca="1">M161-L161</f>
        <v>#VALUE!</v>
      </c>
      <c r="O161" s="216"/>
      <c r="P161" s="218" t="e">
        <f ca="1">bdRateExtend(D161:D165,L161:L165,H161:H165,M161:M165)</f>
        <v>#VALUE!</v>
      </c>
    </row>
    <row r="162" spans="2:28" x14ac:dyDescent="0.25">
      <c r="B162" s="86" t="str">
        <f>B161</f>
        <v>FlowerDance_UVGgs_0000</v>
      </c>
      <c r="C162" s="93" t="s">
        <v>55</v>
      </c>
      <c r="D162" s="217" t="e">
        <f ca="1">0.000001*INDIRECT($B162&amp;"!E6")</f>
        <v>#VALUE!</v>
      </c>
      <c r="E162" s="216"/>
      <c r="F162" s="86" t="str">
        <f>F161</f>
        <v>FlowerDance_UVGgs_0000</v>
      </c>
      <c r="G162" s="93" t="s">
        <v>55</v>
      </c>
      <c r="H162" s="217" t="e">
        <f ca="1">0.000001*INDIRECT($B162&amp;"!AC6")</f>
        <v>#VALUE!</v>
      </c>
      <c r="I162" s="9"/>
      <c r="J162" s="218" t="e">
        <f ca="1">H162/D162-1</f>
        <v>#VALUE!</v>
      </c>
      <c r="L162" s="65" t="str">
        <f ca="1">INDIRECT($B162&amp;"!"&amp;L$3&amp;"6")</f>
        <v/>
      </c>
      <c r="M162" s="66" t="str">
        <f ca="1">INDIRECT($B162&amp;"!"&amp;M$3&amp;"6")</f>
        <v/>
      </c>
      <c r="N162" s="67" t="e">
        <f ca="1">M162-L162</f>
        <v>#VALUE!</v>
      </c>
      <c r="O162" s="216"/>
      <c r="P162" s="3"/>
    </row>
    <row r="163" spans="2:28" x14ac:dyDescent="0.25">
      <c r="B163" s="86" t="str">
        <f>B162</f>
        <v>FlowerDance_UVGgs_0000</v>
      </c>
      <c r="C163" s="93" t="s">
        <v>56</v>
      </c>
      <c r="D163" s="217" t="e">
        <f ca="1">0.000001*INDIRECT($B163&amp;"!E7")</f>
        <v>#VALUE!</v>
      </c>
      <c r="E163" s="216"/>
      <c r="F163" s="86" t="str">
        <f>F162</f>
        <v>FlowerDance_UVGgs_0000</v>
      </c>
      <c r="G163" s="93" t="s">
        <v>56</v>
      </c>
      <c r="H163" s="217" t="e">
        <f ca="1">0.000001*INDIRECT($B163&amp;"!AC7")</f>
        <v>#VALUE!</v>
      </c>
      <c r="I163" s="9"/>
      <c r="J163" s="218" t="e">
        <f ca="1">H163/D163-1</f>
        <v>#VALUE!</v>
      </c>
      <c r="L163" s="65" t="str">
        <f ca="1">INDIRECT($B163&amp;"!"&amp;L$3&amp;"7")</f>
        <v/>
      </c>
      <c r="M163" s="66" t="str">
        <f ca="1">INDIRECT($B163&amp;"!"&amp;M$3&amp;"7")</f>
        <v/>
      </c>
      <c r="N163" s="67" t="e">
        <f ca="1">M163-L163</f>
        <v>#VALUE!</v>
      </c>
      <c r="O163" s="216"/>
      <c r="P163" s="3"/>
      <c r="AB163" s="220"/>
    </row>
    <row r="164" spans="2:28" x14ac:dyDescent="0.25">
      <c r="B164" s="86" t="str">
        <f>B163</f>
        <v>FlowerDance_UVGgs_0000</v>
      </c>
      <c r="C164" s="93" t="s">
        <v>57</v>
      </c>
      <c r="D164" s="217" t="e">
        <f ca="1">0.000001*INDIRECT($B164&amp;"!E8")</f>
        <v>#VALUE!</v>
      </c>
      <c r="E164" s="216"/>
      <c r="F164" s="86" t="str">
        <f>F163</f>
        <v>FlowerDance_UVGgs_0000</v>
      </c>
      <c r="G164" s="93" t="s">
        <v>57</v>
      </c>
      <c r="H164" s="217" t="e">
        <f ca="1">0.000001*INDIRECT($B164&amp;"!AC8")</f>
        <v>#VALUE!</v>
      </c>
      <c r="I164" s="9"/>
      <c r="J164" s="218" t="e">
        <f ca="1">H164/D164-1</f>
        <v>#VALUE!</v>
      </c>
      <c r="L164" s="65" t="str">
        <f ca="1">INDIRECT($B164&amp;"!"&amp;L$3&amp;"8")</f>
        <v/>
      </c>
      <c r="M164" s="66" t="str">
        <f ca="1">INDIRECT($B164&amp;"!"&amp;M$3&amp;"8")</f>
        <v/>
      </c>
      <c r="N164" s="67" t="e">
        <f ca="1">M164-L164</f>
        <v>#VALUE!</v>
      </c>
      <c r="O164" s="216"/>
      <c r="P164" s="218"/>
    </row>
    <row r="165" spans="2:28" ht="18" customHeight="1" thickBot="1" x14ac:dyDescent="0.3">
      <c r="B165" s="86" t="str">
        <f>B164</f>
        <v>FlowerDance_UVGgs_0000</v>
      </c>
      <c r="C165" s="93" t="s">
        <v>58</v>
      </c>
      <c r="D165" s="217" t="e">
        <f ca="1">0.000001*INDIRECT($B165&amp;"!E9")</f>
        <v>#VALUE!</v>
      </c>
      <c r="E165" s="216"/>
      <c r="F165" s="86" t="str">
        <f>F164</f>
        <v>FlowerDance_UVGgs_0000</v>
      </c>
      <c r="G165" s="93" t="s">
        <v>58</v>
      </c>
      <c r="H165" s="217" t="e">
        <f ca="1">0.000001*INDIRECT($B165&amp;"!AC9")</f>
        <v>#VALUE!</v>
      </c>
      <c r="I165" s="9"/>
      <c r="J165" s="218" t="e">
        <f ca="1">H165/D165-1</f>
        <v>#VALUE!</v>
      </c>
      <c r="L165" s="65" t="str">
        <f ca="1">INDIRECT($B165&amp;"!"&amp;L$3&amp;"9")</f>
        <v/>
      </c>
      <c r="M165" s="66" t="str">
        <f ca="1">INDIRECT($B165&amp;"!"&amp;M$3&amp;"9")</f>
        <v/>
      </c>
      <c r="N165" s="67" t="e">
        <f ca="1">M165-L165</f>
        <v>#VALUE!</v>
      </c>
      <c r="O165" s="216"/>
      <c r="P165" s="221"/>
    </row>
    <row r="166" spans="2:28" ht="16.5" customHeight="1" x14ac:dyDescent="0.25">
      <c r="B166" s="80"/>
      <c r="C166" s="81"/>
      <c r="D166" s="222"/>
      <c r="F166" s="80"/>
      <c r="G166" s="81"/>
      <c r="H166" s="222"/>
      <c r="J166" s="69" t="e">
        <f ca="1">MIN(D161:D165,H161:H165)</f>
        <v>#VALUE!</v>
      </c>
      <c r="L166" s="70"/>
      <c r="M166" s="71"/>
      <c r="N166" s="72"/>
      <c r="O166" s="216"/>
      <c r="P166" s="205"/>
      <c r="AB166" s="220"/>
    </row>
    <row r="167" spans="2:28" ht="18" customHeight="1" thickBot="1" x14ac:dyDescent="0.3">
      <c r="B167" s="62"/>
      <c r="C167" s="63"/>
      <c r="D167" s="223"/>
      <c r="E167" s="216"/>
      <c r="F167" s="62"/>
      <c r="G167" s="63"/>
      <c r="H167" s="223"/>
      <c r="I167" s="9"/>
      <c r="J167" s="73" t="e">
        <f ca="1">MAX(D161:D165,H161:H165)</f>
        <v>#VALUE!</v>
      </c>
      <c r="L167" s="74">
        <f>L166</f>
        <v>0</v>
      </c>
      <c r="M167" s="75">
        <f>M166</f>
        <v>0</v>
      </c>
      <c r="N167" s="68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36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205"/>
      <c r="L169" s="259" t="str">
        <f>F169</f>
        <v>FlowerDance_UVGgs_0200</v>
      </c>
      <c r="M169" s="260"/>
      <c r="N169" s="261"/>
      <c r="O169" s="149"/>
      <c r="P169" s="205"/>
    </row>
    <row r="170" spans="2:28" x14ac:dyDescent="0.25">
      <c r="B170" s="262" t="s">
        <v>47</v>
      </c>
      <c r="C170" s="257"/>
      <c r="D170" s="61" t="s">
        <v>48</v>
      </c>
      <c r="E170" s="216"/>
      <c r="F170" s="262" t="s">
        <v>47</v>
      </c>
      <c r="G170" s="257"/>
      <c r="H170" s="61" t="s">
        <v>48</v>
      </c>
      <c r="I170" s="9"/>
      <c r="J170" s="203" t="s">
        <v>49</v>
      </c>
      <c r="L170" s="256" t="s">
        <v>50</v>
      </c>
      <c r="M170" s="257"/>
      <c r="N170" s="258"/>
      <c r="O170" s="59"/>
      <c r="P170" s="3"/>
    </row>
    <row r="171" spans="2:28" x14ac:dyDescent="0.25">
      <c r="B171" s="145" t="s">
        <v>0</v>
      </c>
      <c r="C171" s="93" t="s">
        <v>51</v>
      </c>
      <c r="D171" s="60" t="s">
        <v>52</v>
      </c>
      <c r="E171" s="216"/>
      <c r="F171" s="145" t="s">
        <v>0</v>
      </c>
      <c r="G171" s="93" t="s">
        <v>51</v>
      </c>
      <c r="H171" s="60" t="s">
        <v>52</v>
      </c>
      <c r="I171" s="9"/>
      <c r="J171" s="64"/>
      <c r="L171" s="146" t="str">
        <f>CONCATENATE(B$2," ",L169)</f>
        <v>MPEG151-octree FlowerDance_UVGgs_0200</v>
      </c>
      <c r="M171" s="147" t="str">
        <f>CONCATENATE(F$2," ",L169)</f>
        <v>MPEG151-修改上下文 FlowerDance_UVGgs_0200</v>
      </c>
      <c r="N171" s="148" t="s">
        <v>53</v>
      </c>
      <c r="O171" s="2"/>
      <c r="P171" s="3" t="s">
        <v>44</v>
      </c>
    </row>
    <row r="172" spans="2:28" x14ac:dyDescent="0.25">
      <c r="B172" s="86" t="str">
        <f>B169</f>
        <v>FlowerDance_UVGgs_0200</v>
      </c>
      <c r="C172" s="93" t="s">
        <v>54</v>
      </c>
      <c r="D172" s="217" t="e">
        <f ca="1">0.000001*INDIRECT($B172&amp;"!E5")</f>
        <v>#VALUE!</v>
      </c>
      <c r="E172" s="216"/>
      <c r="F172" s="86" t="str">
        <f>F169</f>
        <v>FlowerDance_UVGgs_0200</v>
      </c>
      <c r="G172" s="93" t="s">
        <v>54</v>
      </c>
      <c r="H172" s="217" t="e">
        <f ca="1">0.000001*INDIRECT($B172&amp;"!AC5")</f>
        <v>#VALUE!</v>
      </c>
      <c r="I172" s="9"/>
      <c r="J172" s="218" t="e">
        <f ca="1">H172/D172-1</f>
        <v>#VALUE!</v>
      </c>
      <c r="L172" s="65" t="str">
        <f ca="1">INDIRECT($B172&amp;"!"&amp;L$3&amp;"5")</f>
        <v/>
      </c>
      <c r="M172" s="66" t="str">
        <f ca="1">INDIRECT($B172&amp;"!"&amp;M$3&amp;"5")</f>
        <v/>
      </c>
      <c r="N172" s="67" t="e">
        <f ca="1">M172-L172</f>
        <v>#VALUE!</v>
      </c>
      <c r="O172" s="216"/>
      <c r="P172" s="218" t="e">
        <f ca="1">bdRateExtend(D172:D176,L172:L176,H172:H176,M172:M176)</f>
        <v>#VALUE!</v>
      </c>
    </row>
    <row r="173" spans="2:28" x14ac:dyDescent="0.25">
      <c r="B173" s="86" t="str">
        <f>B172</f>
        <v>FlowerDance_UVGgs_0200</v>
      </c>
      <c r="C173" s="93" t="s">
        <v>55</v>
      </c>
      <c r="D173" s="217" t="e">
        <f ca="1">0.000001*INDIRECT($B173&amp;"!E6")</f>
        <v>#VALUE!</v>
      </c>
      <c r="E173" s="216"/>
      <c r="F173" s="86" t="str">
        <f>F172</f>
        <v>FlowerDance_UVGgs_0200</v>
      </c>
      <c r="G173" s="93" t="s">
        <v>55</v>
      </c>
      <c r="H173" s="217" t="e">
        <f ca="1">0.000001*INDIRECT($B173&amp;"!AC6")</f>
        <v>#VALUE!</v>
      </c>
      <c r="I173" s="9"/>
      <c r="J173" s="218" t="e">
        <f ca="1">H173/D173-1</f>
        <v>#VALUE!</v>
      </c>
      <c r="L173" s="65" t="str">
        <f ca="1">INDIRECT($B173&amp;"!"&amp;L$3&amp;"6")</f>
        <v/>
      </c>
      <c r="M173" s="66" t="str">
        <f ca="1">INDIRECT($B173&amp;"!"&amp;M$3&amp;"6")</f>
        <v/>
      </c>
      <c r="N173" s="67" t="e">
        <f ca="1">M173-L173</f>
        <v>#VALUE!</v>
      </c>
      <c r="O173" s="216"/>
      <c r="P173" s="3"/>
      <c r="AB173" s="220"/>
    </row>
    <row r="174" spans="2:28" x14ac:dyDescent="0.25">
      <c r="B174" s="86" t="str">
        <f>B173</f>
        <v>FlowerDance_UVGgs_0200</v>
      </c>
      <c r="C174" s="93" t="s">
        <v>56</v>
      </c>
      <c r="D174" s="217" t="e">
        <f ca="1">0.000001*INDIRECT($B174&amp;"!E7")</f>
        <v>#VALUE!</v>
      </c>
      <c r="E174" s="216"/>
      <c r="F174" s="86" t="str">
        <f>F173</f>
        <v>FlowerDance_UVGgs_0200</v>
      </c>
      <c r="G174" s="93" t="s">
        <v>56</v>
      </c>
      <c r="H174" s="217" t="e">
        <f ca="1">0.000001*INDIRECT($B174&amp;"!AC7")</f>
        <v>#VALUE!</v>
      </c>
      <c r="I174" s="9"/>
      <c r="J174" s="218" t="e">
        <f ca="1">H174/D174-1</f>
        <v>#VALUE!</v>
      </c>
      <c r="L174" s="65" t="str">
        <f ca="1">INDIRECT($B174&amp;"!"&amp;L$3&amp;"7")</f>
        <v/>
      </c>
      <c r="M174" s="66" t="str">
        <f ca="1">INDIRECT($B174&amp;"!"&amp;M$3&amp;"7")</f>
        <v/>
      </c>
      <c r="N174" s="67" t="e">
        <f ca="1">M174-L174</f>
        <v>#VALUE!</v>
      </c>
      <c r="O174" s="216"/>
      <c r="P174" s="3"/>
    </row>
    <row r="175" spans="2:28" x14ac:dyDescent="0.25">
      <c r="B175" s="86" t="str">
        <f>B174</f>
        <v>FlowerDance_UVGgs_0200</v>
      </c>
      <c r="C175" s="93" t="s">
        <v>57</v>
      </c>
      <c r="D175" s="217" t="e">
        <f ca="1">0.000001*INDIRECT($B175&amp;"!E8")</f>
        <v>#VALUE!</v>
      </c>
      <c r="E175" s="216"/>
      <c r="F175" s="86" t="str">
        <f>F174</f>
        <v>FlowerDance_UVGgs_0200</v>
      </c>
      <c r="G175" s="93" t="s">
        <v>57</v>
      </c>
      <c r="H175" s="217" t="e">
        <f ca="1">0.000001*INDIRECT($B175&amp;"!AC8")</f>
        <v>#VALUE!</v>
      </c>
      <c r="I175" s="9"/>
      <c r="J175" s="218" t="e">
        <f ca="1">H175/D175-1</f>
        <v>#VALUE!</v>
      </c>
      <c r="L175" s="65" t="str">
        <f ca="1">INDIRECT($B175&amp;"!"&amp;L$3&amp;"8")</f>
        <v/>
      </c>
      <c r="M175" s="66" t="str">
        <f ca="1">INDIRECT($B175&amp;"!"&amp;M$3&amp;"8")</f>
        <v/>
      </c>
      <c r="N175" s="67" t="e">
        <f ca="1">M175-L175</f>
        <v>#VALUE!</v>
      </c>
      <c r="O175" s="216"/>
      <c r="P175" s="218"/>
    </row>
    <row r="176" spans="2:28" ht="16.5" customHeight="1" thickBot="1" x14ac:dyDescent="0.3">
      <c r="B176" s="86" t="str">
        <f>B175</f>
        <v>FlowerDance_UVGgs_0200</v>
      </c>
      <c r="C176" s="93" t="s">
        <v>58</v>
      </c>
      <c r="D176" s="217" t="e">
        <f ca="1">0.000001*INDIRECT($B176&amp;"!E9")</f>
        <v>#VALUE!</v>
      </c>
      <c r="E176" s="216"/>
      <c r="F176" s="86" t="str">
        <f>F175</f>
        <v>FlowerDance_UVGgs_0200</v>
      </c>
      <c r="G176" s="93" t="s">
        <v>58</v>
      </c>
      <c r="H176" s="217" t="e">
        <f ca="1">0.000001*INDIRECT($B176&amp;"!AC9")</f>
        <v>#VALUE!</v>
      </c>
      <c r="I176" s="9"/>
      <c r="J176" s="218" t="e">
        <f ca="1">H176/D176-1</f>
        <v>#VALUE!</v>
      </c>
      <c r="L176" s="65" t="str">
        <f ca="1">INDIRECT($B176&amp;"!"&amp;L$3&amp;"9")</f>
        <v/>
      </c>
      <c r="M176" s="66" t="str">
        <f ca="1">INDIRECT($B176&amp;"!"&amp;M$3&amp;"9")</f>
        <v/>
      </c>
      <c r="N176" s="67" t="e">
        <f ca="1">M176-L176</f>
        <v>#VALUE!</v>
      </c>
      <c r="O176" s="216"/>
      <c r="P176" s="221"/>
      <c r="AB176" s="220"/>
    </row>
    <row r="177" spans="2:28" x14ac:dyDescent="0.25">
      <c r="B177" s="80"/>
      <c r="C177" s="81"/>
      <c r="D177" s="222"/>
      <c r="F177" s="80"/>
      <c r="G177" s="81"/>
      <c r="H177" s="222"/>
      <c r="J177" s="69" t="e">
        <f ca="1">MIN(D172:D176,H172:H176)</f>
        <v>#VALUE!</v>
      </c>
      <c r="L177" s="70"/>
      <c r="M177" s="71"/>
      <c r="N177" s="72"/>
      <c r="O177" s="216"/>
      <c r="P177" s="205"/>
    </row>
    <row r="178" spans="2:28" ht="16.5" customHeight="1" thickBot="1" x14ac:dyDescent="0.3">
      <c r="B178" s="62"/>
      <c r="C178" s="63"/>
      <c r="D178" s="223"/>
      <c r="E178" s="216"/>
      <c r="F178" s="62"/>
      <c r="G178" s="63"/>
      <c r="H178" s="223"/>
      <c r="I178" s="9"/>
      <c r="J178" s="73" t="e">
        <f ca="1">MAX(D172:D176,H172:H176)</f>
        <v>#VALUE!</v>
      </c>
      <c r="L178" s="74">
        <f>L177</f>
        <v>0</v>
      </c>
      <c r="M178" s="75">
        <f>M177</f>
        <v>0</v>
      </c>
      <c r="N178" s="68"/>
      <c r="O178" s="216"/>
      <c r="P178" s="5"/>
    </row>
    <row r="179" spans="2:28" ht="16.5" customHeight="1" thickBot="1" x14ac:dyDescent="0.3"/>
    <row r="180" spans="2:28" x14ac:dyDescent="0.25">
      <c r="B180" s="265" t="s">
        <v>37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205"/>
      <c r="L180" s="259" t="str">
        <f>F180</f>
        <v>Gymnast_UVGgs_0100</v>
      </c>
      <c r="M180" s="260"/>
      <c r="N180" s="261"/>
      <c r="O180" s="149"/>
      <c r="P180" s="205"/>
    </row>
    <row r="181" spans="2:28" x14ac:dyDescent="0.25">
      <c r="B181" s="262" t="s">
        <v>47</v>
      </c>
      <c r="C181" s="257"/>
      <c r="D181" s="61" t="s">
        <v>48</v>
      </c>
      <c r="E181" s="216"/>
      <c r="F181" s="262" t="s">
        <v>47</v>
      </c>
      <c r="G181" s="257"/>
      <c r="H181" s="61" t="s">
        <v>48</v>
      </c>
      <c r="I181" s="9"/>
      <c r="J181" s="203" t="s">
        <v>49</v>
      </c>
      <c r="L181" s="256" t="s">
        <v>50</v>
      </c>
      <c r="M181" s="257"/>
      <c r="N181" s="258"/>
      <c r="O181" s="59"/>
      <c r="P181" s="3"/>
    </row>
    <row r="182" spans="2:28" x14ac:dyDescent="0.25">
      <c r="B182" s="145" t="s">
        <v>0</v>
      </c>
      <c r="C182" s="93" t="s">
        <v>51</v>
      </c>
      <c r="D182" s="60" t="s">
        <v>52</v>
      </c>
      <c r="E182" s="216"/>
      <c r="F182" s="145" t="s">
        <v>0</v>
      </c>
      <c r="G182" s="93" t="s">
        <v>51</v>
      </c>
      <c r="H182" s="60" t="s">
        <v>52</v>
      </c>
      <c r="I182" s="9"/>
      <c r="J182" s="64"/>
      <c r="L182" s="146" t="str">
        <f>CONCATENATE(B$2," ",L180)</f>
        <v>MPEG151-octree Gymnast_UVGgs_0100</v>
      </c>
      <c r="M182" s="147" t="str">
        <f>CONCATENATE(F$2," ",L180)</f>
        <v>MPEG151-修改上下文 Gymnast_UVGgs_0100</v>
      </c>
      <c r="N182" s="148" t="s">
        <v>53</v>
      </c>
      <c r="O182" s="2"/>
      <c r="P182" s="3" t="s">
        <v>44</v>
      </c>
      <c r="Q182" s="2"/>
      <c r="R182" s="2"/>
      <c r="S182" s="2"/>
      <c r="T182" s="2"/>
      <c r="U182" s="2"/>
      <c r="V182" s="2"/>
      <c r="X182" s="149"/>
      <c r="Y182" s="149"/>
      <c r="Z182" s="149"/>
    </row>
    <row r="183" spans="2:28" x14ac:dyDescent="0.25">
      <c r="B183" s="86" t="str">
        <f>B180</f>
        <v>Gymnast_UVGgs_0100</v>
      </c>
      <c r="C183" s="93" t="s">
        <v>54</v>
      </c>
      <c r="D183" s="217" t="e">
        <f ca="1">0.000001*INDIRECT($B183&amp;"!E5")</f>
        <v>#VALUE!</v>
      </c>
      <c r="E183" s="216"/>
      <c r="F183" s="86" t="str">
        <f>F180</f>
        <v>Gymnast_UVGgs_0100</v>
      </c>
      <c r="G183" s="93" t="s">
        <v>54</v>
      </c>
      <c r="H183" s="217" t="e">
        <f ca="1">0.000001*INDIRECT($B183&amp;"!AC5")</f>
        <v>#VALUE!</v>
      </c>
      <c r="I183" s="9"/>
      <c r="J183" s="218" t="e">
        <f ca="1">H183/D183-1</f>
        <v>#VALUE!</v>
      </c>
      <c r="L183" s="65" t="str">
        <f ca="1">INDIRECT($B183&amp;"!"&amp;L$3&amp;"5")</f>
        <v/>
      </c>
      <c r="M183" s="66" t="str">
        <f ca="1">INDIRECT($B183&amp;"!"&amp;M$3&amp;"5")</f>
        <v/>
      </c>
      <c r="N183" s="67" t="e">
        <f ca="1">M183-L183</f>
        <v>#VALUE!</v>
      </c>
      <c r="O183" s="216"/>
      <c r="P183" s="218" t="e">
        <f ca="1">bdRateExtend(D183:D187,L183:L187,H183:H187,M183:M187)</f>
        <v>#VALUE!</v>
      </c>
      <c r="Q183" s="216"/>
      <c r="R183" s="9"/>
      <c r="S183" s="9"/>
      <c r="T183" s="9"/>
      <c r="U183" s="9"/>
      <c r="V183" s="219"/>
      <c r="X183" s="6"/>
      <c r="Y183" s="6"/>
      <c r="Z183" s="56"/>
      <c r="AB183" s="220"/>
    </row>
    <row r="184" spans="2:28" x14ac:dyDescent="0.25">
      <c r="B184" s="86" t="str">
        <f>B183</f>
        <v>Gymnast_UVGgs_0100</v>
      </c>
      <c r="C184" s="93" t="s">
        <v>55</v>
      </c>
      <c r="D184" s="217" t="e">
        <f ca="1">0.000001*INDIRECT($B184&amp;"!E6")</f>
        <v>#VALUE!</v>
      </c>
      <c r="E184" s="216"/>
      <c r="F184" s="86" t="str">
        <f>F183</f>
        <v>Gymnast_UVGgs_0100</v>
      </c>
      <c r="G184" s="93" t="s">
        <v>55</v>
      </c>
      <c r="H184" s="217" t="e">
        <f ca="1">0.000001*INDIRECT($B184&amp;"!AC6")</f>
        <v>#VALUE!</v>
      </c>
      <c r="I184" s="9"/>
      <c r="J184" s="218" t="e">
        <f ca="1">H184/D184-1</f>
        <v>#VALUE!</v>
      </c>
      <c r="L184" s="65" t="str">
        <f ca="1">INDIRECT($B184&amp;"!"&amp;L$3&amp;"6")</f>
        <v/>
      </c>
      <c r="M184" s="66" t="str">
        <f ca="1">INDIRECT($B184&amp;"!"&amp;M$3&amp;"6")</f>
        <v/>
      </c>
      <c r="N184" s="67" t="e">
        <f ca="1">M184-L184</f>
        <v>#VALUE!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6"/>
    </row>
    <row r="185" spans="2:28" x14ac:dyDescent="0.25">
      <c r="B185" s="86" t="str">
        <f>B184</f>
        <v>Gymnast_UVGgs_0100</v>
      </c>
      <c r="C185" s="93" t="s">
        <v>56</v>
      </c>
      <c r="D185" s="217" t="e">
        <f ca="1">0.000001*INDIRECT($B185&amp;"!E7")</f>
        <v>#VALUE!</v>
      </c>
      <c r="E185" s="216"/>
      <c r="F185" s="86" t="str">
        <f>F184</f>
        <v>Gymnast_UVGgs_0100</v>
      </c>
      <c r="G185" s="93" t="s">
        <v>56</v>
      </c>
      <c r="H185" s="217" t="e">
        <f ca="1">0.000001*INDIRECT($B185&amp;"!AC7")</f>
        <v>#VALUE!</v>
      </c>
      <c r="I185" s="9"/>
      <c r="J185" s="218" t="e">
        <f ca="1">H185/D185-1</f>
        <v>#VALUE!</v>
      </c>
      <c r="L185" s="65" t="str">
        <f ca="1">INDIRECT($B185&amp;"!"&amp;L$3&amp;"7")</f>
        <v/>
      </c>
      <c r="M185" s="66" t="str">
        <f ca="1">INDIRECT($B185&amp;"!"&amp;M$3&amp;"7")</f>
        <v/>
      </c>
      <c r="N185" s="67" t="e">
        <f ca="1">M185-L185</f>
        <v>#VALUE!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6"/>
    </row>
    <row r="186" spans="2:28" ht="16.5" customHeight="1" x14ac:dyDescent="0.25">
      <c r="B186" s="86" t="str">
        <f>B185</f>
        <v>Gymnast_UVGgs_0100</v>
      </c>
      <c r="C186" s="93" t="s">
        <v>57</v>
      </c>
      <c r="D186" s="217" t="e">
        <f ca="1">0.000001*INDIRECT($B186&amp;"!E8")</f>
        <v>#VALUE!</v>
      </c>
      <c r="E186" s="216"/>
      <c r="F186" s="86" t="str">
        <f>F185</f>
        <v>Gymnast_UVGgs_0100</v>
      </c>
      <c r="G186" s="93" t="s">
        <v>57</v>
      </c>
      <c r="H186" s="217" t="e">
        <f ca="1">0.000001*INDIRECT($B186&amp;"!AC8")</f>
        <v>#VALUE!</v>
      </c>
      <c r="I186" s="9"/>
      <c r="J186" s="218" t="e">
        <f ca="1">H186/D186-1</f>
        <v>#VALUE!</v>
      </c>
      <c r="L186" s="65" t="str">
        <f ca="1">INDIRECT($B186&amp;"!"&amp;L$3&amp;"8")</f>
        <v/>
      </c>
      <c r="M186" s="66" t="str">
        <f ca="1">INDIRECT($B186&amp;"!"&amp;M$3&amp;"8")</f>
        <v/>
      </c>
      <c r="N186" s="67" t="e">
        <f ca="1">M186-L186</f>
        <v>#VALUE!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6"/>
      <c r="AB186" s="220"/>
    </row>
    <row r="187" spans="2:28" ht="18" customHeight="1" thickBot="1" x14ac:dyDescent="0.3">
      <c r="B187" s="86" t="str">
        <f>B186</f>
        <v>Gymnast_UVGgs_0100</v>
      </c>
      <c r="C187" s="93" t="s">
        <v>58</v>
      </c>
      <c r="D187" s="217" t="e">
        <f ca="1">0.000001*INDIRECT($B187&amp;"!E9")</f>
        <v>#VALUE!</v>
      </c>
      <c r="E187" s="216"/>
      <c r="F187" s="86" t="str">
        <f>F186</f>
        <v>Gymnast_UVGgs_0100</v>
      </c>
      <c r="G187" s="93" t="s">
        <v>58</v>
      </c>
      <c r="H187" s="217" t="e">
        <f ca="1">0.000001*INDIRECT($B187&amp;"!AC9")</f>
        <v>#VALUE!</v>
      </c>
      <c r="I187" s="9"/>
      <c r="J187" s="218" t="e">
        <f ca="1">H187/D187-1</f>
        <v>#VALUE!</v>
      </c>
      <c r="L187" s="65" t="str">
        <f ca="1">INDIRECT($B187&amp;"!"&amp;L$3&amp;"9")</f>
        <v/>
      </c>
      <c r="M187" s="66" t="str">
        <f ca="1">INDIRECT($B187&amp;"!"&amp;M$3&amp;"9")</f>
        <v/>
      </c>
      <c r="N187" s="67" t="e">
        <f ca="1">M187-L187</f>
        <v>#VALUE!</v>
      </c>
      <c r="O187" s="216"/>
      <c r="P187" s="221"/>
      <c r="Q187" s="216"/>
      <c r="R187" s="9"/>
      <c r="S187" s="9"/>
      <c r="T187" s="9"/>
      <c r="U187" s="9"/>
      <c r="V187" s="57"/>
      <c r="X187" s="6"/>
      <c r="Y187" s="6"/>
      <c r="Z187" s="56"/>
    </row>
    <row r="188" spans="2:28" ht="16.5" customHeight="1" x14ac:dyDescent="0.25">
      <c r="B188" s="80"/>
      <c r="C188" s="81"/>
      <c r="D188" s="222"/>
      <c r="F188" s="80"/>
      <c r="G188" s="81"/>
      <c r="H188" s="222"/>
      <c r="J188" s="69" t="e">
        <f ca="1">MIN(D183:D187,H183:H187)</f>
        <v>#VALUE!</v>
      </c>
      <c r="L188" s="70"/>
      <c r="M188" s="71"/>
      <c r="N188" s="72"/>
      <c r="O188" s="216"/>
      <c r="P188" s="205"/>
      <c r="Q188" s="216"/>
      <c r="R188" s="9"/>
      <c r="S188" s="9"/>
      <c r="T188" s="9"/>
      <c r="U188" s="9"/>
      <c r="V188" s="57"/>
      <c r="X188" s="58"/>
      <c r="Y188" s="58"/>
      <c r="Z188" s="56"/>
    </row>
    <row r="189" spans="2:28" ht="18" customHeight="1" thickBot="1" x14ac:dyDescent="0.3">
      <c r="B189" s="62"/>
      <c r="C189" s="63"/>
      <c r="D189" s="223"/>
      <c r="E189" s="216"/>
      <c r="F189" s="62"/>
      <c r="G189" s="63"/>
      <c r="H189" s="223"/>
      <c r="I189" s="9"/>
      <c r="J189" s="73" t="e">
        <f ca="1">MAX(D183:D187,H183:H187)</f>
        <v>#VALUE!</v>
      </c>
      <c r="L189" s="74">
        <f>L188</f>
        <v>0</v>
      </c>
      <c r="M189" s="75">
        <f>M188</f>
        <v>0</v>
      </c>
      <c r="N189" s="68"/>
      <c r="O189" s="216"/>
      <c r="P189" s="5"/>
    </row>
    <row r="190" spans="2:28" ht="18" customHeight="1" thickBot="1" x14ac:dyDescent="0.3"/>
    <row r="191" spans="2:28" x14ac:dyDescent="0.25">
      <c r="B191" s="265" t="s">
        <v>38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205"/>
      <c r="L191" s="259" t="str">
        <f>F191</f>
        <v>Gymnast_UVGgs_0200</v>
      </c>
      <c r="M191" s="260"/>
      <c r="N191" s="261"/>
      <c r="O191" s="149"/>
      <c r="P191" s="205"/>
    </row>
    <row r="192" spans="2:28" x14ac:dyDescent="0.25">
      <c r="B192" s="262" t="s">
        <v>47</v>
      </c>
      <c r="C192" s="257"/>
      <c r="D192" s="61" t="s">
        <v>48</v>
      </c>
      <c r="E192" s="216"/>
      <c r="F192" s="262" t="s">
        <v>47</v>
      </c>
      <c r="G192" s="257"/>
      <c r="H192" s="61" t="s">
        <v>48</v>
      </c>
      <c r="I192" s="9"/>
      <c r="J192" s="203" t="s">
        <v>49</v>
      </c>
      <c r="L192" s="256" t="s">
        <v>50</v>
      </c>
      <c r="M192" s="257"/>
      <c r="N192" s="258"/>
      <c r="O192" s="59"/>
      <c r="P192" s="3"/>
    </row>
    <row r="193" spans="2:16" x14ac:dyDescent="0.25">
      <c r="B193" s="145" t="s">
        <v>0</v>
      </c>
      <c r="C193" s="93" t="s">
        <v>51</v>
      </c>
      <c r="D193" s="60" t="s">
        <v>52</v>
      </c>
      <c r="E193" s="216"/>
      <c r="F193" s="145" t="s">
        <v>0</v>
      </c>
      <c r="G193" s="93" t="s">
        <v>51</v>
      </c>
      <c r="H193" s="60" t="s">
        <v>52</v>
      </c>
      <c r="I193" s="9"/>
      <c r="J193" s="64"/>
      <c r="L193" s="146" t="str">
        <f>CONCATENATE(B$2," ",L191)</f>
        <v>MPEG151-octree Gymnast_UVGgs_0200</v>
      </c>
      <c r="M193" s="147" t="str">
        <f>CONCATENATE(F$2," ",L191)</f>
        <v>MPEG151-修改上下文 Gymnast_UVGgs_0200</v>
      </c>
      <c r="N193" s="148" t="s">
        <v>53</v>
      </c>
      <c r="O193" s="2"/>
      <c r="P193" s="3" t="s">
        <v>44</v>
      </c>
    </row>
    <row r="194" spans="2:16" x14ac:dyDescent="0.25">
      <c r="B194" s="86" t="str">
        <f>B191</f>
        <v>Gymnast_UVGgs_0200</v>
      </c>
      <c r="C194" s="93" t="s">
        <v>54</v>
      </c>
      <c r="D194" s="217" t="e">
        <f ca="1">0.000001*INDIRECT($B194&amp;"!E5")</f>
        <v>#VALUE!</v>
      </c>
      <c r="E194" s="216"/>
      <c r="F194" s="86" t="str">
        <f>F191</f>
        <v>Gymnast_UVGgs_0200</v>
      </c>
      <c r="G194" s="93" t="s">
        <v>54</v>
      </c>
      <c r="H194" s="217" t="e">
        <f ca="1">0.000001*INDIRECT($B194&amp;"!AC5")</f>
        <v>#VALUE!</v>
      </c>
      <c r="I194" s="9"/>
      <c r="J194" s="218" t="e">
        <f ca="1">H194/D194-1</f>
        <v>#VALUE!</v>
      </c>
      <c r="L194" s="65" t="str">
        <f ca="1">INDIRECT($B194&amp;"!"&amp;L$3&amp;"5")</f>
        <v/>
      </c>
      <c r="M194" s="66" t="str">
        <f ca="1">INDIRECT($B194&amp;"!"&amp;M$3&amp;"5")</f>
        <v/>
      </c>
      <c r="N194" s="67" t="e">
        <f ca="1">M194-L194</f>
        <v>#VALUE!</v>
      </c>
      <c r="O194" s="216"/>
      <c r="P194" s="218" t="e">
        <f ca="1">bdRateExtend(D194:D198,L194:L198,H194:H198,M194:M198)</f>
        <v>#VALUE!</v>
      </c>
    </row>
    <row r="195" spans="2:16" x14ac:dyDescent="0.25">
      <c r="B195" s="86" t="str">
        <f>B194</f>
        <v>Gymnast_UVGgs_0200</v>
      </c>
      <c r="C195" s="93" t="s">
        <v>55</v>
      </c>
      <c r="D195" s="217" t="e">
        <f ca="1">0.000001*INDIRECT($B195&amp;"!E6")</f>
        <v>#VALUE!</v>
      </c>
      <c r="E195" s="216"/>
      <c r="F195" s="86" t="str">
        <f>F194</f>
        <v>Gymnast_UVGgs_0200</v>
      </c>
      <c r="G195" s="93" t="s">
        <v>55</v>
      </c>
      <c r="H195" s="217" t="e">
        <f ca="1">0.000001*INDIRECT($B195&amp;"!AC6")</f>
        <v>#VALUE!</v>
      </c>
      <c r="I195" s="9"/>
      <c r="J195" s="218" t="e">
        <f ca="1">H195/D195-1</f>
        <v>#VALUE!</v>
      </c>
      <c r="L195" s="65" t="str">
        <f ca="1">INDIRECT($B195&amp;"!"&amp;L$3&amp;"6")</f>
        <v/>
      </c>
      <c r="M195" s="66" t="str">
        <f ca="1">INDIRECT($B195&amp;"!"&amp;M$3&amp;"6")</f>
        <v/>
      </c>
      <c r="N195" s="67" t="e">
        <f ca="1">M195-L195</f>
        <v>#VALUE!</v>
      </c>
      <c r="O195" s="216"/>
      <c r="P195" s="3"/>
    </row>
    <row r="196" spans="2:16" x14ac:dyDescent="0.25">
      <c r="B196" s="86" t="str">
        <f>B195</f>
        <v>Gymnast_UVGgs_0200</v>
      </c>
      <c r="C196" s="93" t="s">
        <v>56</v>
      </c>
      <c r="D196" s="217" t="e">
        <f ca="1">0.000001*INDIRECT($B196&amp;"!E7")</f>
        <v>#VALUE!</v>
      </c>
      <c r="E196" s="216"/>
      <c r="F196" s="86" t="str">
        <f>F195</f>
        <v>Gymnast_UVGgs_0200</v>
      </c>
      <c r="G196" s="93" t="s">
        <v>56</v>
      </c>
      <c r="H196" s="217" t="e">
        <f ca="1">0.000001*INDIRECT($B196&amp;"!AC7")</f>
        <v>#VALUE!</v>
      </c>
      <c r="I196" s="9"/>
      <c r="J196" s="218" t="e">
        <f ca="1">H196/D196-1</f>
        <v>#VALUE!</v>
      </c>
      <c r="L196" s="65" t="str">
        <f ca="1">INDIRECT($B196&amp;"!"&amp;L$3&amp;"7")</f>
        <v/>
      </c>
      <c r="M196" s="66" t="str">
        <f ca="1">INDIRECT($B196&amp;"!"&amp;M$3&amp;"7")</f>
        <v/>
      </c>
      <c r="N196" s="67" t="e">
        <f ca="1">M196-L196</f>
        <v>#VALUE!</v>
      </c>
      <c r="O196" s="216"/>
      <c r="P196" s="3"/>
    </row>
    <row r="197" spans="2:16" x14ac:dyDescent="0.25">
      <c r="B197" s="86" t="str">
        <f>B196</f>
        <v>Gymnast_UVGgs_0200</v>
      </c>
      <c r="C197" s="93" t="s">
        <v>57</v>
      </c>
      <c r="D197" s="217" t="e">
        <f ca="1">0.000001*INDIRECT($B197&amp;"!E8")</f>
        <v>#VALUE!</v>
      </c>
      <c r="E197" s="216"/>
      <c r="F197" s="86" t="str">
        <f>F196</f>
        <v>Gymnast_UVGgs_0200</v>
      </c>
      <c r="G197" s="93" t="s">
        <v>57</v>
      </c>
      <c r="H197" s="217" t="e">
        <f ca="1">0.000001*INDIRECT($B197&amp;"!AC8")</f>
        <v>#VALUE!</v>
      </c>
      <c r="I197" s="9"/>
      <c r="J197" s="218" t="e">
        <f ca="1">H197/D197-1</f>
        <v>#VALUE!</v>
      </c>
      <c r="L197" s="65" t="str">
        <f ca="1">INDIRECT($B197&amp;"!"&amp;L$3&amp;"8")</f>
        <v/>
      </c>
      <c r="M197" s="66" t="str">
        <f ca="1">INDIRECT($B197&amp;"!"&amp;M$3&amp;"8")</f>
        <v/>
      </c>
      <c r="N197" s="67" t="e">
        <f ca="1">M197-L197</f>
        <v>#VALUE!</v>
      </c>
      <c r="O197" s="216"/>
      <c r="P197" s="218"/>
    </row>
    <row r="198" spans="2:16" ht="18" customHeight="1" thickBot="1" x14ac:dyDescent="0.3">
      <c r="B198" s="86" t="str">
        <f>B197</f>
        <v>Gymnast_UVGgs_0200</v>
      </c>
      <c r="C198" s="93" t="s">
        <v>58</v>
      </c>
      <c r="D198" s="217" t="e">
        <f ca="1">0.000001*INDIRECT($B198&amp;"!E9")</f>
        <v>#VALUE!</v>
      </c>
      <c r="E198" s="216"/>
      <c r="F198" s="86" t="str">
        <f>F197</f>
        <v>Gymnast_UVGgs_0200</v>
      </c>
      <c r="G198" s="93" t="s">
        <v>58</v>
      </c>
      <c r="H198" s="217" t="e">
        <f ca="1">0.000001*INDIRECT($B198&amp;"!AC9")</f>
        <v>#VALUE!</v>
      </c>
      <c r="I198" s="9"/>
      <c r="J198" s="218" t="e">
        <f ca="1">H198/D198-1</f>
        <v>#VALUE!</v>
      </c>
      <c r="L198" s="65" t="str">
        <f ca="1">INDIRECT($B198&amp;"!"&amp;L$3&amp;"9")</f>
        <v/>
      </c>
      <c r="M198" s="66" t="str">
        <f ca="1">INDIRECT($B198&amp;"!"&amp;M$3&amp;"9")</f>
        <v/>
      </c>
      <c r="N198" s="67" t="e">
        <f ca="1">M198-L198</f>
        <v>#VALUE!</v>
      </c>
      <c r="O198" s="216"/>
      <c r="P198" s="221"/>
    </row>
    <row r="199" spans="2:16" x14ac:dyDescent="0.25">
      <c r="B199" s="80"/>
      <c r="C199" s="81"/>
      <c r="D199" s="222"/>
      <c r="F199" s="80"/>
      <c r="G199" s="81"/>
      <c r="H199" s="222"/>
      <c r="J199" s="69" t="e">
        <f ca="1">MIN(D194:D198,H194:H198)</f>
        <v>#VALUE!</v>
      </c>
      <c r="L199" s="70"/>
      <c r="M199" s="71"/>
      <c r="N199" s="72"/>
      <c r="O199" s="216"/>
      <c r="P199" s="205"/>
    </row>
    <row r="200" spans="2:16" ht="18" customHeight="1" thickBot="1" x14ac:dyDescent="0.3">
      <c r="B200" s="62"/>
      <c r="C200" s="63"/>
      <c r="D200" s="223"/>
      <c r="E200" s="216"/>
      <c r="F200" s="62"/>
      <c r="G200" s="63"/>
      <c r="H200" s="223"/>
      <c r="I200" s="9"/>
      <c r="J200" s="73" t="e">
        <f ca="1">MAX(D194:D198,H194:H198)</f>
        <v>#VALUE!</v>
      </c>
      <c r="L200" s="74">
        <f>L199</f>
        <v>0</v>
      </c>
      <c r="M200" s="75">
        <f>M199</f>
        <v>0</v>
      </c>
      <c r="N200" s="68"/>
      <c r="O200" s="216"/>
      <c r="P200" s="5"/>
    </row>
    <row r="201" spans="2:16" ht="18" customHeight="1" thickBot="1" x14ac:dyDescent="0.3"/>
    <row r="202" spans="2:16" x14ac:dyDescent="0.25">
      <c r="B202" s="265" t="s">
        <v>39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205"/>
      <c r="L202" s="259" t="str">
        <f>F202</f>
        <v>artwork</v>
      </c>
      <c r="M202" s="260"/>
      <c r="N202" s="261"/>
      <c r="O202" s="149"/>
      <c r="P202" s="205"/>
    </row>
    <row r="203" spans="2:16" x14ac:dyDescent="0.25">
      <c r="B203" s="262" t="s">
        <v>47</v>
      </c>
      <c r="C203" s="257"/>
      <c r="D203" s="61" t="s">
        <v>48</v>
      </c>
      <c r="E203" s="216"/>
      <c r="F203" s="262" t="s">
        <v>47</v>
      </c>
      <c r="G203" s="257"/>
      <c r="H203" s="61" t="s">
        <v>48</v>
      </c>
      <c r="I203" s="9"/>
      <c r="J203" s="203" t="s">
        <v>49</v>
      </c>
      <c r="L203" s="256" t="s">
        <v>50</v>
      </c>
      <c r="M203" s="257"/>
      <c r="N203" s="258"/>
      <c r="O203" s="59"/>
      <c r="P203" s="3"/>
    </row>
    <row r="204" spans="2:16" x14ac:dyDescent="0.25">
      <c r="B204" s="145" t="s">
        <v>0</v>
      </c>
      <c r="C204" s="93" t="s">
        <v>51</v>
      </c>
      <c r="D204" s="60" t="s">
        <v>52</v>
      </c>
      <c r="E204" s="216"/>
      <c r="F204" s="145" t="s">
        <v>0</v>
      </c>
      <c r="G204" s="93" t="s">
        <v>51</v>
      </c>
      <c r="H204" s="60" t="s">
        <v>52</v>
      </c>
      <c r="I204" s="9"/>
      <c r="J204" s="64"/>
      <c r="L204" s="146" t="str">
        <f>CONCATENATE(B$2," ",L202)</f>
        <v>MPEG151-octree artwork</v>
      </c>
      <c r="M204" s="147" t="str">
        <f>CONCATENATE(F$2," ",L202)</f>
        <v>MPEG151-修改上下文 artwork</v>
      </c>
      <c r="N204" s="148" t="s">
        <v>53</v>
      </c>
      <c r="O204" s="2"/>
      <c r="P204" s="3" t="s">
        <v>44</v>
      </c>
    </row>
    <row r="205" spans="2:16" x14ac:dyDescent="0.25">
      <c r="B205" s="86" t="str">
        <f>B202</f>
        <v>artwork</v>
      </c>
      <c r="C205" s="93" t="s">
        <v>54</v>
      </c>
      <c r="D205" s="217" t="e">
        <f ca="1">0.000001*INDIRECT($B205&amp;"!E5")</f>
        <v>#VALUE!</v>
      </c>
      <c r="E205" s="216"/>
      <c r="F205" s="86" t="str">
        <f>F202</f>
        <v>artwork</v>
      </c>
      <c r="G205" s="93" t="s">
        <v>54</v>
      </c>
      <c r="H205" s="217" t="e">
        <f ca="1">0.000001*INDIRECT($B205&amp;"!AC5")</f>
        <v>#VALUE!</v>
      </c>
      <c r="I205" s="9"/>
      <c r="J205" s="218" t="e">
        <f ca="1">H205/D205-1</f>
        <v>#VALUE!</v>
      </c>
      <c r="L205" s="65" t="str">
        <f ca="1">INDIRECT($B205&amp;"!"&amp;L$3&amp;"5")</f>
        <v/>
      </c>
      <c r="M205" s="66" t="str">
        <f ca="1">INDIRECT($B205&amp;"!"&amp;M$3&amp;"5")</f>
        <v/>
      </c>
      <c r="N205" s="67" t="e">
        <f ca="1">M205-L205</f>
        <v>#VALUE!</v>
      </c>
      <c r="O205" s="216"/>
      <c r="P205" s="218" t="e">
        <f ca="1">bdRateExtend(D205:D209,L205:L209,H205:H209,M205:M209)</f>
        <v>#VALUE!</v>
      </c>
    </row>
    <row r="206" spans="2:16" x14ac:dyDescent="0.25">
      <c r="B206" s="86" t="str">
        <f>B205</f>
        <v>artwork</v>
      </c>
      <c r="C206" s="93" t="s">
        <v>55</v>
      </c>
      <c r="D206" s="217" t="e">
        <f ca="1">0.000001*INDIRECT($B206&amp;"!E6")</f>
        <v>#VALUE!</v>
      </c>
      <c r="E206" s="216"/>
      <c r="F206" s="86" t="str">
        <f>F205</f>
        <v>artwork</v>
      </c>
      <c r="G206" s="93" t="s">
        <v>55</v>
      </c>
      <c r="H206" s="217" t="e">
        <f ca="1">0.000001*INDIRECT($B206&amp;"!AC6")</f>
        <v>#VALUE!</v>
      </c>
      <c r="I206" s="9"/>
      <c r="J206" s="218" t="e">
        <f ca="1">H206/D206-1</f>
        <v>#VALUE!</v>
      </c>
      <c r="L206" s="65" t="str">
        <f ca="1">INDIRECT($B206&amp;"!"&amp;L$3&amp;"6")</f>
        <v/>
      </c>
      <c r="M206" s="66" t="str">
        <f ca="1">INDIRECT($B206&amp;"!"&amp;M$3&amp;"6")</f>
        <v/>
      </c>
      <c r="N206" s="67" t="e">
        <f ca="1">M206-L206</f>
        <v>#VALUE!</v>
      </c>
      <c r="O206" s="216"/>
      <c r="P206" s="3"/>
    </row>
    <row r="207" spans="2:16" x14ac:dyDescent="0.25">
      <c r="B207" s="86" t="str">
        <f>B206</f>
        <v>artwork</v>
      </c>
      <c r="C207" s="93" t="s">
        <v>56</v>
      </c>
      <c r="D207" s="217" t="e">
        <f ca="1">0.000001*INDIRECT($B207&amp;"!E7")</f>
        <v>#VALUE!</v>
      </c>
      <c r="E207" s="216"/>
      <c r="F207" s="86" t="str">
        <f>F206</f>
        <v>artwork</v>
      </c>
      <c r="G207" s="93" t="s">
        <v>56</v>
      </c>
      <c r="H207" s="217" t="e">
        <f ca="1">0.000001*INDIRECT($B207&amp;"!AC7")</f>
        <v>#VALUE!</v>
      </c>
      <c r="I207" s="9"/>
      <c r="J207" s="218" t="e">
        <f ca="1">H207/D207-1</f>
        <v>#VALUE!</v>
      </c>
      <c r="L207" s="65" t="str">
        <f ca="1">INDIRECT($B207&amp;"!"&amp;L$3&amp;"7")</f>
        <v/>
      </c>
      <c r="M207" s="66" t="str">
        <f ca="1">INDIRECT($B207&amp;"!"&amp;M$3&amp;"7")</f>
        <v/>
      </c>
      <c r="N207" s="67" t="e">
        <f ca="1">M207-L207</f>
        <v>#VALUE!</v>
      </c>
      <c r="O207" s="216"/>
      <c r="P207" s="3"/>
    </row>
    <row r="208" spans="2:16" x14ac:dyDescent="0.25">
      <c r="B208" s="86" t="str">
        <f>B207</f>
        <v>artwork</v>
      </c>
      <c r="C208" s="93" t="s">
        <v>57</v>
      </c>
      <c r="D208" s="217" t="e">
        <f ca="1">0.000001*INDIRECT($B208&amp;"!E8")</f>
        <v>#VALUE!</v>
      </c>
      <c r="E208" s="216"/>
      <c r="F208" s="86" t="str">
        <f>F207</f>
        <v>artwork</v>
      </c>
      <c r="G208" s="93" t="s">
        <v>57</v>
      </c>
      <c r="H208" s="217" t="e">
        <f ca="1">0.000001*INDIRECT($B208&amp;"!AC8")</f>
        <v>#VALUE!</v>
      </c>
      <c r="I208" s="9"/>
      <c r="J208" s="218" t="e">
        <f ca="1">H208/D208-1</f>
        <v>#VALUE!</v>
      </c>
      <c r="L208" s="65" t="str">
        <f ca="1">INDIRECT($B208&amp;"!"&amp;L$3&amp;"8")</f>
        <v/>
      </c>
      <c r="M208" s="66" t="str">
        <f ca="1">INDIRECT($B208&amp;"!"&amp;M$3&amp;"8")</f>
        <v/>
      </c>
      <c r="N208" s="67" t="e">
        <f ca="1">M208-L208</f>
        <v>#VALUE!</v>
      </c>
      <c r="O208" s="216"/>
      <c r="P208" s="218"/>
    </row>
    <row r="209" spans="2:16" ht="18" customHeight="1" thickBot="1" x14ac:dyDescent="0.3">
      <c r="B209" s="86" t="str">
        <f>B208</f>
        <v>artwork</v>
      </c>
      <c r="C209" s="93" t="s">
        <v>58</v>
      </c>
      <c r="D209" s="217" t="e">
        <f ca="1">0.000001*INDIRECT($B209&amp;"!E9")</f>
        <v>#VALUE!</v>
      </c>
      <c r="E209" s="216"/>
      <c r="F209" s="86" t="str">
        <f>F208</f>
        <v>artwork</v>
      </c>
      <c r="G209" s="93" t="s">
        <v>58</v>
      </c>
      <c r="H209" s="217" t="e">
        <f ca="1">0.000001*INDIRECT($B209&amp;"!AC9")</f>
        <v>#VALUE!</v>
      </c>
      <c r="I209" s="9"/>
      <c r="J209" s="218" t="e">
        <f ca="1">H209/D209-1</f>
        <v>#VALUE!</v>
      </c>
      <c r="L209" s="65" t="str">
        <f ca="1">INDIRECT($B209&amp;"!"&amp;L$3&amp;"9")</f>
        <v/>
      </c>
      <c r="M209" s="66" t="str">
        <f ca="1">INDIRECT($B209&amp;"!"&amp;M$3&amp;"9")</f>
        <v/>
      </c>
      <c r="N209" s="67" t="e">
        <f ca="1">M209-L209</f>
        <v>#VALUE!</v>
      </c>
      <c r="O209" s="216"/>
      <c r="P209" s="221"/>
    </row>
    <row r="210" spans="2:16" x14ac:dyDescent="0.25">
      <c r="B210" s="80"/>
      <c r="C210" s="81"/>
      <c r="D210" s="222"/>
      <c r="F210" s="80"/>
      <c r="G210" s="81"/>
      <c r="H210" s="222"/>
      <c r="J210" s="69" t="e">
        <f ca="1">MIN(D205:D209,H205:H209)</f>
        <v>#VALUE!</v>
      </c>
      <c r="L210" s="70"/>
      <c r="M210" s="71"/>
      <c r="N210" s="72"/>
      <c r="O210" s="216"/>
      <c r="P210" s="205"/>
    </row>
    <row r="211" spans="2:16" ht="18" customHeight="1" thickBot="1" x14ac:dyDescent="0.3">
      <c r="B211" s="62"/>
      <c r="C211" s="63"/>
      <c r="D211" s="223"/>
      <c r="E211" s="216"/>
      <c r="F211" s="62"/>
      <c r="G211" s="63"/>
      <c r="H211" s="223"/>
      <c r="I211" s="9"/>
      <c r="J211" s="73" t="e">
        <f ca="1">MAX(D205:D209,H205:H209)</f>
        <v>#VALUE!</v>
      </c>
      <c r="L211" s="74">
        <f>L210</f>
        <v>0</v>
      </c>
      <c r="M211" s="75">
        <f>M210</f>
        <v>0</v>
      </c>
      <c r="N211" s="68"/>
      <c r="O211" s="216"/>
      <c r="P211" s="5"/>
    </row>
    <row r="212" spans="2:16" ht="18" customHeight="1" thickBot="1" x14ac:dyDescent="0.3"/>
    <row r="213" spans="2:16" x14ac:dyDescent="0.25">
      <c r="B213" s="265" t="s">
        <v>40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205"/>
      <c r="L213" s="259" t="str">
        <f>F213</f>
        <v>panda</v>
      </c>
      <c r="M213" s="260"/>
      <c r="N213" s="261"/>
      <c r="O213" s="149"/>
      <c r="P213" s="205"/>
    </row>
    <row r="214" spans="2:16" x14ac:dyDescent="0.25">
      <c r="B214" s="262" t="s">
        <v>47</v>
      </c>
      <c r="C214" s="257"/>
      <c r="D214" s="61" t="s">
        <v>48</v>
      </c>
      <c r="E214" s="216"/>
      <c r="F214" s="262" t="s">
        <v>47</v>
      </c>
      <c r="G214" s="257"/>
      <c r="H214" s="61" t="s">
        <v>48</v>
      </c>
      <c r="I214" s="9"/>
      <c r="J214" s="203" t="s">
        <v>49</v>
      </c>
      <c r="L214" s="256" t="s">
        <v>50</v>
      </c>
      <c r="M214" s="257"/>
      <c r="N214" s="258"/>
      <c r="O214" s="59"/>
      <c r="P214" s="3"/>
    </row>
    <row r="215" spans="2:16" x14ac:dyDescent="0.25">
      <c r="B215" s="145" t="s">
        <v>0</v>
      </c>
      <c r="C215" s="93" t="s">
        <v>51</v>
      </c>
      <c r="D215" s="60" t="s">
        <v>52</v>
      </c>
      <c r="E215" s="216"/>
      <c r="F215" s="145" t="s">
        <v>0</v>
      </c>
      <c r="G215" s="93" t="s">
        <v>51</v>
      </c>
      <c r="H215" s="60" t="s">
        <v>52</v>
      </c>
      <c r="I215" s="9"/>
      <c r="J215" s="64"/>
      <c r="L215" s="146" t="str">
        <f>CONCATENATE(B$2," ",L213)</f>
        <v>MPEG151-octree panda</v>
      </c>
      <c r="M215" s="147" t="str">
        <f>CONCATENATE(F$2," ",L213)</f>
        <v>MPEG151-修改上下文 panda</v>
      </c>
      <c r="N215" s="148" t="s">
        <v>53</v>
      </c>
      <c r="O215" s="2"/>
      <c r="P215" s="3" t="s">
        <v>44</v>
      </c>
    </row>
    <row r="216" spans="2:16" x14ac:dyDescent="0.25">
      <c r="B216" s="86" t="str">
        <f>B213</f>
        <v>panda</v>
      </c>
      <c r="C216" s="93" t="s">
        <v>54</v>
      </c>
      <c r="D216" s="217" t="e">
        <f ca="1">0.000001*INDIRECT($B216&amp;"!E5")</f>
        <v>#VALUE!</v>
      </c>
      <c r="E216" s="216"/>
      <c r="F216" s="86" t="str">
        <f>F213</f>
        <v>panda</v>
      </c>
      <c r="G216" s="93" t="s">
        <v>54</v>
      </c>
      <c r="H216" s="217" t="e">
        <f ca="1">0.000001*INDIRECT($B216&amp;"!AC5")</f>
        <v>#VALUE!</v>
      </c>
      <c r="I216" s="9"/>
      <c r="J216" s="218" t="e">
        <f ca="1">H216/D216-1</f>
        <v>#VALUE!</v>
      </c>
      <c r="L216" s="65" t="str">
        <f ca="1">INDIRECT($B216&amp;"!"&amp;L$3&amp;"5")</f>
        <v/>
      </c>
      <c r="M216" s="66" t="str">
        <f ca="1">INDIRECT($B216&amp;"!"&amp;M$3&amp;"5")</f>
        <v/>
      </c>
      <c r="N216" s="67" t="e">
        <f ca="1">M216-L216</f>
        <v>#VALUE!</v>
      </c>
      <c r="O216" s="216"/>
      <c r="P216" s="218" t="e">
        <f ca="1">bdRateExtend(D216:D220,L216:L220,H216:H220,M216:M220)</f>
        <v>#VALUE!</v>
      </c>
    </row>
    <row r="217" spans="2:16" x14ac:dyDescent="0.25">
      <c r="B217" s="86" t="str">
        <f>B216</f>
        <v>panda</v>
      </c>
      <c r="C217" s="93" t="s">
        <v>55</v>
      </c>
      <c r="D217" s="217" t="e">
        <f ca="1">0.000001*INDIRECT($B217&amp;"!E6")</f>
        <v>#VALUE!</v>
      </c>
      <c r="E217" s="216"/>
      <c r="F217" s="86" t="str">
        <f>F216</f>
        <v>panda</v>
      </c>
      <c r="G217" s="93" t="s">
        <v>55</v>
      </c>
      <c r="H217" s="217" t="e">
        <f ca="1">0.000001*INDIRECT($B217&amp;"!AC6")</f>
        <v>#VALUE!</v>
      </c>
      <c r="I217" s="9"/>
      <c r="J217" s="218" t="e">
        <f ca="1">H217/D217-1</f>
        <v>#VALUE!</v>
      </c>
      <c r="L217" s="65" t="str">
        <f ca="1">INDIRECT($B217&amp;"!"&amp;L$3&amp;"6")</f>
        <v/>
      </c>
      <c r="M217" s="66" t="str">
        <f ca="1">INDIRECT($B217&amp;"!"&amp;M$3&amp;"6")</f>
        <v/>
      </c>
      <c r="N217" s="67" t="e">
        <f ca="1">M217-L217</f>
        <v>#VALUE!</v>
      </c>
      <c r="O217" s="216"/>
      <c r="P217" s="3"/>
    </row>
    <row r="218" spans="2:16" x14ac:dyDescent="0.25">
      <c r="B218" s="86" t="str">
        <f>B217</f>
        <v>panda</v>
      </c>
      <c r="C218" s="93" t="s">
        <v>56</v>
      </c>
      <c r="D218" s="217" t="e">
        <f ca="1">0.000001*INDIRECT($B218&amp;"!E7")</f>
        <v>#VALUE!</v>
      </c>
      <c r="E218" s="216"/>
      <c r="F218" s="86" t="str">
        <f>F217</f>
        <v>panda</v>
      </c>
      <c r="G218" s="93" t="s">
        <v>56</v>
      </c>
      <c r="H218" s="217" t="e">
        <f ca="1">0.000001*INDIRECT($B218&amp;"!AC7")</f>
        <v>#VALUE!</v>
      </c>
      <c r="I218" s="9"/>
      <c r="J218" s="218" t="e">
        <f ca="1">H218/D218-1</f>
        <v>#VALUE!</v>
      </c>
      <c r="L218" s="65" t="str">
        <f ca="1">INDIRECT($B218&amp;"!"&amp;L$3&amp;"7")</f>
        <v/>
      </c>
      <c r="M218" s="66" t="str">
        <f ca="1">INDIRECT($B218&amp;"!"&amp;M$3&amp;"7")</f>
        <v/>
      </c>
      <c r="N218" s="67" t="e">
        <f ca="1">M218-L218</f>
        <v>#VALUE!</v>
      </c>
      <c r="O218" s="216"/>
      <c r="P218" s="3"/>
    </row>
    <row r="219" spans="2:16" x14ac:dyDescent="0.25">
      <c r="B219" s="86" t="str">
        <f>B218</f>
        <v>panda</v>
      </c>
      <c r="C219" s="93" t="s">
        <v>57</v>
      </c>
      <c r="D219" s="217" t="e">
        <f ca="1">0.000001*INDIRECT($B219&amp;"!E8")</f>
        <v>#VALUE!</v>
      </c>
      <c r="E219" s="216"/>
      <c r="F219" s="86" t="str">
        <f>F218</f>
        <v>panda</v>
      </c>
      <c r="G219" s="93" t="s">
        <v>57</v>
      </c>
      <c r="H219" s="217" t="e">
        <f ca="1">0.000001*INDIRECT($B219&amp;"!AC8")</f>
        <v>#VALUE!</v>
      </c>
      <c r="I219" s="9"/>
      <c r="J219" s="218" t="e">
        <f ca="1">H219/D219-1</f>
        <v>#VALUE!</v>
      </c>
      <c r="L219" s="65" t="str">
        <f ca="1">INDIRECT($B219&amp;"!"&amp;L$3&amp;"8")</f>
        <v/>
      </c>
      <c r="M219" s="66" t="str">
        <f ca="1">INDIRECT($B219&amp;"!"&amp;M$3&amp;"8")</f>
        <v/>
      </c>
      <c r="N219" s="67" t="e">
        <f ca="1">M219-L219</f>
        <v>#VALUE!</v>
      </c>
      <c r="O219" s="216"/>
      <c r="P219" s="218"/>
    </row>
    <row r="220" spans="2:16" ht="18" customHeight="1" thickBot="1" x14ac:dyDescent="0.3">
      <c r="B220" s="86" t="str">
        <f>B219</f>
        <v>panda</v>
      </c>
      <c r="C220" s="93" t="s">
        <v>58</v>
      </c>
      <c r="D220" s="217" t="e">
        <f ca="1">0.000001*INDIRECT($B220&amp;"!E9")</f>
        <v>#VALUE!</v>
      </c>
      <c r="E220" s="216"/>
      <c r="F220" s="86" t="str">
        <f>F219</f>
        <v>panda</v>
      </c>
      <c r="G220" s="93" t="s">
        <v>58</v>
      </c>
      <c r="H220" s="217" t="e">
        <f ca="1">0.000001*INDIRECT($B220&amp;"!AC9")</f>
        <v>#VALUE!</v>
      </c>
      <c r="I220" s="9"/>
      <c r="J220" s="218" t="e">
        <f ca="1">H220/D220-1</f>
        <v>#VALUE!</v>
      </c>
      <c r="L220" s="65" t="str">
        <f ca="1">INDIRECT($B220&amp;"!"&amp;L$3&amp;"9")</f>
        <v/>
      </c>
      <c r="M220" s="66" t="str">
        <f ca="1">INDIRECT($B220&amp;"!"&amp;M$3&amp;"9")</f>
        <v/>
      </c>
      <c r="N220" s="67" t="e">
        <f ca="1">M220-L220</f>
        <v>#VALUE!</v>
      </c>
      <c r="O220" s="216"/>
      <c r="P220" s="221"/>
    </row>
    <row r="221" spans="2:16" x14ac:dyDescent="0.25">
      <c r="B221" s="80"/>
      <c r="C221" s="81"/>
      <c r="D221" s="222"/>
      <c r="F221" s="80"/>
      <c r="G221" s="81"/>
      <c r="H221" s="222"/>
      <c r="J221" s="69" t="e">
        <f ca="1">MIN(D216:D220,H216:H220)</f>
        <v>#VALUE!</v>
      </c>
      <c r="L221" s="70"/>
      <c r="M221" s="71"/>
      <c r="N221" s="72"/>
      <c r="O221" s="216"/>
      <c r="P221" s="205"/>
    </row>
    <row r="222" spans="2:16" ht="18" customHeight="1" thickBot="1" x14ac:dyDescent="0.3">
      <c r="B222" s="62"/>
      <c r="C222" s="63"/>
      <c r="D222" s="223"/>
      <c r="E222" s="216"/>
      <c r="F222" s="62"/>
      <c r="G222" s="63"/>
      <c r="H222" s="223"/>
      <c r="I222" s="9"/>
      <c r="J222" s="73" t="e">
        <f ca="1">MAX(D216:D220,H216:H220)</f>
        <v>#VALUE!</v>
      </c>
      <c r="L222" s="74">
        <f>L221</f>
        <v>0</v>
      </c>
      <c r="M222" s="75">
        <f>M221</f>
        <v>0</v>
      </c>
      <c r="N222" s="68"/>
      <c r="O222" s="216"/>
      <c r="P222" s="5"/>
    </row>
    <row r="223" spans="2:16" ht="18" customHeight="1" thickBot="1" x14ac:dyDescent="0.3"/>
    <row r="224" spans="2:16" x14ac:dyDescent="0.25">
      <c r="B224" s="265" t="s">
        <v>41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205"/>
      <c r="L224" s="259" t="str">
        <f>F224</f>
        <v>wukong</v>
      </c>
      <c r="M224" s="260"/>
      <c r="N224" s="261"/>
      <c r="O224" s="149"/>
      <c r="P224" s="205"/>
    </row>
    <row r="225" spans="2:16" x14ac:dyDescent="0.25">
      <c r="B225" s="262" t="s">
        <v>47</v>
      </c>
      <c r="C225" s="257"/>
      <c r="D225" s="61" t="s">
        <v>48</v>
      </c>
      <c r="E225" s="216"/>
      <c r="F225" s="262" t="s">
        <v>47</v>
      </c>
      <c r="G225" s="257"/>
      <c r="H225" s="61" t="s">
        <v>48</v>
      </c>
      <c r="I225" s="9"/>
      <c r="J225" s="203" t="s">
        <v>49</v>
      </c>
      <c r="L225" s="256" t="s">
        <v>50</v>
      </c>
      <c r="M225" s="257"/>
      <c r="N225" s="258"/>
      <c r="O225" s="59"/>
      <c r="P225" s="3"/>
    </row>
    <row r="226" spans="2:16" x14ac:dyDescent="0.25">
      <c r="B226" s="145" t="s">
        <v>0</v>
      </c>
      <c r="C226" s="93" t="s">
        <v>51</v>
      </c>
      <c r="D226" s="60" t="s">
        <v>52</v>
      </c>
      <c r="E226" s="216"/>
      <c r="F226" s="145" t="s">
        <v>0</v>
      </c>
      <c r="G226" s="93" t="s">
        <v>51</v>
      </c>
      <c r="H226" s="60" t="s">
        <v>52</v>
      </c>
      <c r="I226" s="9"/>
      <c r="J226" s="64"/>
      <c r="L226" s="146" t="str">
        <f>CONCATENATE(B$2," ",L224)</f>
        <v>MPEG151-octree wukong</v>
      </c>
      <c r="M226" s="147" t="str">
        <f>CONCATENATE(F$2," ",L224)</f>
        <v>MPEG151-修改上下文 wukong</v>
      </c>
      <c r="N226" s="148" t="s">
        <v>53</v>
      </c>
      <c r="O226" s="2"/>
      <c r="P226" s="3" t="s">
        <v>44</v>
      </c>
    </row>
    <row r="227" spans="2:16" x14ac:dyDescent="0.25">
      <c r="B227" s="86" t="str">
        <f>B224</f>
        <v>wukong</v>
      </c>
      <c r="C227" s="93" t="s">
        <v>54</v>
      </c>
      <c r="D227" s="217" t="e">
        <f ca="1">0.000001*INDIRECT($B227&amp;"!E5")</f>
        <v>#VALUE!</v>
      </c>
      <c r="E227" s="216"/>
      <c r="F227" s="86" t="str">
        <f>F224</f>
        <v>wukong</v>
      </c>
      <c r="G227" s="93" t="s">
        <v>54</v>
      </c>
      <c r="H227" s="217" t="e">
        <f ca="1">0.000001*INDIRECT($B227&amp;"!AC5")</f>
        <v>#VALUE!</v>
      </c>
      <c r="I227" s="9"/>
      <c r="J227" s="218" t="e">
        <f ca="1">H227/D227-1</f>
        <v>#VALUE!</v>
      </c>
      <c r="L227" s="65" t="str">
        <f ca="1">INDIRECT($B227&amp;"!"&amp;L$3&amp;"5")</f>
        <v/>
      </c>
      <c r="M227" s="66" t="str">
        <f ca="1">INDIRECT($B227&amp;"!"&amp;M$3&amp;"5")</f>
        <v/>
      </c>
      <c r="N227" s="67" t="e">
        <f ca="1">M227-L227</f>
        <v>#VALUE!</v>
      </c>
      <c r="O227" s="216"/>
      <c r="P227" s="218" t="e">
        <f ca="1">bdRateExtend(D227:D231,L227:L231,H227:H231,M227:M231)</f>
        <v>#VALUE!</v>
      </c>
    </row>
    <row r="228" spans="2:16" x14ac:dyDescent="0.25">
      <c r="B228" s="86" t="str">
        <f>B227</f>
        <v>wukong</v>
      </c>
      <c r="C228" s="93" t="s">
        <v>55</v>
      </c>
      <c r="D228" s="217" t="e">
        <f ca="1">0.000001*INDIRECT($B228&amp;"!E6")</f>
        <v>#VALUE!</v>
      </c>
      <c r="E228" s="216"/>
      <c r="F228" s="86" t="str">
        <f>F227</f>
        <v>wukong</v>
      </c>
      <c r="G228" s="93" t="s">
        <v>55</v>
      </c>
      <c r="H228" s="217" t="e">
        <f ca="1">0.000001*INDIRECT($B228&amp;"!AC6")</f>
        <v>#VALUE!</v>
      </c>
      <c r="I228" s="9"/>
      <c r="J228" s="218" t="e">
        <f ca="1">H228/D228-1</f>
        <v>#VALUE!</v>
      </c>
      <c r="L228" s="65" t="str">
        <f ca="1">INDIRECT($B228&amp;"!"&amp;L$3&amp;"6")</f>
        <v/>
      </c>
      <c r="M228" s="66" t="str">
        <f ca="1">INDIRECT($B228&amp;"!"&amp;M$3&amp;"6")</f>
        <v/>
      </c>
      <c r="N228" s="67" t="e">
        <f ca="1">M228-L228</f>
        <v>#VALUE!</v>
      </c>
      <c r="O228" s="216"/>
      <c r="P228" s="3"/>
    </row>
    <row r="229" spans="2:16" x14ac:dyDescent="0.25">
      <c r="B229" s="86" t="str">
        <f>B228</f>
        <v>wukong</v>
      </c>
      <c r="C229" s="93" t="s">
        <v>56</v>
      </c>
      <c r="D229" s="217" t="e">
        <f ca="1">0.000001*INDIRECT($B229&amp;"!E7")</f>
        <v>#VALUE!</v>
      </c>
      <c r="E229" s="216"/>
      <c r="F229" s="86" t="str">
        <f>F228</f>
        <v>wukong</v>
      </c>
      <c r="G229" s="93" t="s">
        <v>56</v>
      </c>
      <c r="H229" s="217" t="e">
        <f ca="1">0.000001*INDIRECT($B229&amp;"!AC7")</f>
        <v>#VALUE!</v>
      </c>
      <c r="I229" s="9"/>
      <c r="J229" s="218" t="e">
        <f ca="1">H229/D229-1</f>
        <v>#VALUE!</v>
      </c>
      <c r="L229" s="65" t="str">
        <f ca="1">INDIRECT($B229&amp;"!"&amp;L$3&amp;"7")</f>
        <v/>
      </c>
      <c r="M229" s="66" t="str">
        <f ca="1">INDIRECT($B229&amp;"!"&amp;M$3&amp;"7")</f>
        <v/>
      </c>
      <c r="N229" s="67" t="e">
        <f ca="1">M229-L229</f>
        <v>#VALUE!</v>
      </c>
      <c r="O229" s="216"/>
      <c r="P229" s="3"/>
    </row>
    <row r="230" spans="2:16" x14ac:dyDescent="0.25">
      <c r="B230" s="86" t="str">
        <f>B229</f>
        <v>wukong</v>
      </c>
      <c r="C230" s="93" t="s">
        <v>57</v>
      </c>
      <c r="D230" s="217" t="e">
        <f ca="1">0.000001*INDIRECT($B230&amp;"!E8")</f>
        <v>#VALUE!</v>
      </c>
      <c r="E230" s="216"/>
      <c r="F230" s="86" t="str">
        <f>F229</f>
        <v>wukong</v>
      </c>
      <c r="G230" s="93" t="s">
        <v>57</v>
      </c>
      <c r="H230" s="217" t="e">
        <f ca="1">0.000001*INDIRECT($B230&amp;"!AC8")</f>
        <v>#VALUE!</v>
      </c>
      <c r="I230" s="9"/>
      <c r="J230" s="218" t="e">
        <f ca="1">H230/D230-1</f>
        <v>#VALUE!</v>
      </c>
      <c r="L230" s="65" t="str">
        <f ca="1">INDIRECT($B230&amp;"!"&amp;L$3&amp;"8")</f>
        <v/>
      </c>
      <c r="M230" s="66" t="str">
        <f ca="1">INDIRECT($B230&amp;"!"&amp;M$3&amp;"8")</f>
        <v/>
      </c>
      <c r="N230" s="67" t="e">
        <f ca="1">M230-L230</f>
        <v>#VALUE!</v>
      </c>
      <c r="O230" s="216"/>
      <c r="P230" s="218"/>
    </row>
    <row r="231" spans="2:16" ht="18" customHeight="1" thickBot="1" x14ac:dyDescent="0.3">
      <c r="B231" s="86" t="str">
        <f>B230</f>
        <v>wukong</v>
      </c>
      <c r="C231" s="93" t="s">
        <v>58</v>
      </c>
      <c r="D231" s="217" t="e">
        <f ca="1">0.000001*INDIRECT($B231&amp;"!E9")</f>
        <v>#VALUE!</v>
      </c>
      <c r="E231" s="216"/>
      <c r="F231" s="86" t="str">
        <f>F230</f>
        <v>wukong</v>
      </c>
      <c r="G231" s="93" t="s">
        <v>58</v>
      </c>
      <c r="H231" s="217" t="e">
        <f ca="1">0.000001*INDIRECT($B231&amp;"!AC9")</f>
        <v>#VALUE!</v>
      </c>
      <c r="I231" s="9"/>
      <c r="J231" s="218" t="e">
        <f ca="1">H231/D231-1</f>
        <v>#VALUE!</v>
      </c>
      <c r="L231" s="65" t="str">
        <f ca="1">INDIRECT($B231&amp;"!"&amp;L$3&amp;"9")</f>
        <v/>
      </c>
      <c r="M231" s="66" t="str">
        <f ca="1">INDIRECT($B231&amp;"!"&amp;M$3&amp;"9")</f>
        <v/>
      </c>
      <c r="N231" s="67" t="e">
        <f ca="1">M231-L231</f>
        <v>#VALUE!</v>
      </c>
      <c r="O231" s="216"/>
      <c r="P231" s="221"/>
    </row>
    <row r="232" spans="2:16" x14ac:dyDescent="0.25">
      <c r="B232" s="80"/>
      <c r="C232" s="81"/>
      <c r="D232" s="222"/>
      <c r="F232" s="80"/>
      <c r="G232" s="81"/>
      <c r="H232" s="222"/>
      <c r="J232" s="69" t="e">
        <f ca="1">MIN(D227:D231,H227:H231)</f>
        <v>#VALUE!</v>
      </c>
      <c r="L232" s="70"/>
      <c r="M232" s="71"/>
      <c r="N232" s="72"/>
      <c r="O232" s="216"/>
      <c r="P232" s="205"/>
    </row>
    <row r="233" spans="2:16" ht="18" customHeight="1" thickBot="1" x14ac:dyDescent="0.3">
      <c r="B233" s="62"/>
      <c r="C233" s="63"/>
      <c r="D233" s="223"/>
      <c r="E233" s="216"/>
      <c r="F233" s="62"/>
      <c r="G233" s="63"/>
      <c r="H233" s="223"/>
      <c r="I233" s="9"/>
      <c r="J233" s="73" t="e">
        <f ca="1">MAX(D227:D231,H227:H231)</f>
        <v>#VALUE!</v>
      </c>
      <c r="L233" s="74">
        <f>L232</f>
        <v>0</v>
      </c>
      <c r="M233" s="75">
        <f>M232</f>
        <v>0</v>
      </c>
      <c r="N233" s="68"/>
      <c r="O233" s="216"/>
      <c r="P233" s="5"/>
    </row>
    <row r="234" spans="2:16" ht="18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205"/>
      <c r="L235" s="259"/>
      <c r="M235" s="260"/>
      <c r="N235" s="261"/>
      <c r="O235" s="149"/>
      <c r="P235" s="205"/>
    </row>
    <row r="236" spans="2:16" x14ac:dyDescent="0.25">
      <c r="B236" s="262"/>
      <c r="C236" s="257"/>
      <c r="D236" s="61"/>
      <c r="E236" s="216"/>
      <c r="F236" s="262"/>
      <c r="G236" s="257"/>
      <c r="H236" s="61"/>
      <c r="I236" s="9"/>
      <c r="J236" s="203"/>
      <c r="L236" s="256"/>
      <c r="M236" s="257"/>
      <c r="N236" s="258"/>
      <c r="O236" s="59"/>
      <c r="P236" s="3"/>
    </row>
    <row r="237" spans="2:16" x14ac:dyDescent="0.25">
      <c r="B237" s="145"/>
      <c r="C237" s="93"/>
      <c r="D237" s="60"/>
      <c r="E237" s="216"/>
      <c r="F237" s="145"/>
      <c r="G237" s="93"/>
      <c r="H237" s="60"/>
      <c r="I237" s="9"/>
      <c r="J237" s="64"/>
      <c r="L237" s="146"/>
      <c r="M237" s="147"/>
      <c r="N237" s="148"/>
      <c r="O237" s="2"/>
      <c r="P237" s="3"/>
    </row>
    <row r="238" spans="2:16" x14ac:dyDescent="0.25">
      <c r="B238" s="86"/>
      <c r="C238" s="93"/>
      <c r="D238" s="217"/>
      <c r="E238" s="216"/>
      <c r="F238" s="86"/>
      <c r="G238" s="93"/>
      <c r="H238" s="217"/>
      <c r="I238" s="9"/>
      <c r="J238" s="218"/>
      <c r="L238" s="65"/>
      <c r="M238" s="66"/>
      <c r="N238" s="67"/>
      <c r="O238" s="216"/>
      <c r="P238" s="218"/>
    </row>
    <row r="239" spans="2:16" x14ac:dyDescent="0.25">
      <c r="B239" s="86"/>
      <c r="C239" s="93"/>
      <c r="D239" s="217"/>
      <c r="E239" s="216"/>
      <c r="F239" s="86"/>
      <c r="G239" s="93"/>
      <c r="H239" s="217"/>
      <c r="I239" s="9"/>
      <c r="J239" s="218"/>
      <c r="L239" s="65"/>
      <c r="M239" s="66"/>
      <c r="N239" s="67"/>
      <c r="O239" s="216"/>
      <c r="P239" s="3"/>
    </row>
    <row r="240" spans="2:16" x14ac:dyDescent="0.25">
      <c r="B240" s="86"/>
      <c r="C240" s="93"/>
      <c r="D240" s="217"/>
      <c r="E240" s="216"/>
      <c r="F240" s="86"/>
      <c r="G240" s="93"/>
      <c r="H240" s="217"/>
      <c r="I240" s="9"/>
      <c r="J240" s="218"/>
      <c r="L240" s="65"/>
      <c r="M240" s="66"/>
      <c r="N240" s="67"/>
      <c r="O240" s="216"/>
      <c r="P240" s="3"/>
    </row>
    <row r="241" spans="2:16" x14ac:dyDescent="0.25">
      <c r="B241" s="86"/>
      <c r="C241" s="93"/>
      <c r="D241" s="217"/>
      <c r="E241" s="216"/>
      <c r="F241" s="86"/>
      <c r="G241" s="93"/>
      <c r="H241" s="217"/>
      <c r="I241" s="9"/>
      <c r="J241" s="218"/>
      <c r="L241" s="65"/>
      <c r="M241" s="66"/>
      <c r="N241" s="67"/>
      <c r="O241" s="216"/>
      <c r="P241" s="218"/>
    </row>
    <row r="242" spans="2:16" ht="18" customHeight="1" thickBot="1" x14ac:dyDescent="0.3">
      <c r="B242" s="86"/>
      <c r="C242" s="93"/>
      <c r="D242" s="217"/>
      <c r="E242" s="216"/>
      <c r="F242" s="86"/>
      <c r="G242" s="93"/>
      <c r="H242" s="217"/>
      <c r="I242" s="9"/>
      <c r="J242" s="218"/>
      <c r="L242" s="65"/>
      <c r="M242" s="66"/>
      <c r="N242" s="67"/>
      <c r="O242" s="216"/>
      <c r="P242" s="221"/>
    </row>
    <row r="243" spans="2:16" x14ac:dyDescent="0.25">
      <c r="B243" s="80"/>
      <c r="C243" s="81"/>
      <c r="D243" s="222"/>
      <c r="F243" s="80"/>
      <c r="G243" s="81"/>
      <c r="H243" s="222"/>
      <c r="J243" s="69"/>
      <c r="L243" s="70"/>
      <c r="M243" s="71"/>
      <c r="N243" s="72"/>
      <c r="O243" s="216"/>
      <c r="P243" s="205"/>
    </row>
    <row r="244" spans="2:16" ht="18" customHeight="1" thickBot="1" x14ac:dyDescent="0.3">
      <c r="B244" s="62"/>
      <c r="C244" s="63"/>
      <c r="D244" s="223"/>
      <c r="E244" s="216"/>
      <c r="F244" s="62"/>
      <c r="G244" s="63"/>
      <c r="H244" s="223"/>
      <c r="I244" s="9"/>
      <c r="J244" s="73"/>
      <c r="L244" s="74"/>
      <c r="M244" s="75"/>
      <c r="N244" s="68"/>
      <c r="O244" s="216"/>
      <c r="P244" s="5"/>
    </row>
    <row r="245" spans="2:16" ht="18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205"/>
      <c r="L246" s="259"/>
      <c r="M246" s="260"/>
      <c r="N246" s="261"/>
      <c r="O246" s="149"/>
      <c r="P246" s="205"/>
    </row>
    <row r="247" spans="2:16" x14ac:dyDescent="0.25">
      <c r="B247" s="262"/>
      <c r="C247" s="257"/>
      <c r="D247" s="61"/>
      <c r="E247" s="216"/>
      <c r="F247" s="262"/>
      <c r="G247" s="257"/>
      <c r="H247" s="61"/>
      <c r="I247" s="9"/>
      <c r="J247" s="203"/>
      <c r="L247" s="256"/>
      <c r="M247" s="257"/>
      <c r="N247" s="258"/>
      <c r="O247" s="59"/>
      <c r="P247" s="3"/>
    </row>
    <row r="248" spans="2:16" x14ac:dyDescent="0.25">
      <c r="B248" s="145"/>
      <c r="C248" s="93"/>
      <c r="D248" s="60"/>
      <c r="E248" s="216"/>
      <c r="F248" s="145"/>
      <c r="G248" s="93"/>
      <c r="H248" s="60"/>
      <c r="I248" s="9"/>
      <c r="J248" s="64"/>
      <c r="L248" s="146"/>
      <c r="M248" s="147"/>
      <c r="N248" s="148"/>
      <c r="O248" s="2"/>
      <c r="P248" s="3"/>
    </row>
    <row r="249" spans="2:16" x14ac:dyDescent="0.25">
      <c r="B249" s="86"/>
      <c r="C249" s="93"/>
      <c r="D249" s="217"/>
      <c r="E249" s="216"/>
      <c r="F249" s="86"/>
      <c r="G249" s="93"/>
      <c r="H249" s="217"/>
      <c r="I249" s="9"/>
      <c r="J249" s="218"/>
      <c r="L249" s="65"/>
      <c r="M249" s="66"/>
      <c r="N249" s="67"/>
      <c r="O249" s="216"/>
      <c r="P249" s="218"/>
    </row>
    <row r="250" spans="2:16" x14ac:dyDescent="0.25">
      <c r="B250" s="86"/>
      <c r="C250" s="93"/>
      <c r="D250" s="217"/>
      <c r="E250" s="216"/>
      <c r="F250" s="86"/>
      <c r="G250" s="93"/>
      <c r="H250" s="217"/>
      <c r="I250" s="9"/>
      <c r="J250" s="218"/>
      <c r="L250" s="65"/>
      <c r="M250" s="66"/>
      <c r="N250" s="67"/>
      <c r="O250" s="216"/>
      <c r="P250" s="3"/>
    </row>
    <row r="251" spans="2:16" x14ac:dyDescent="0.25">
      <c r="B251" s="86"/>
      <c r="C251" s="93"/>
      <c r="D251" s="217"/>
      <c r="E251" s="216"/>
      <c r="F251" s="86"/>
      <c r="G251" s="93"/>
      <c r="H251" s="217"/>
      <c r="I251" s="9"/>
      <c r="J251" s="218"/>
      <c r="L251" s="65"/>
      <c r="M251" s="66"/>
      <c r="N251" s="67"/>
      <c r="O251" s="216"/>
      <c r="P251" s="3"/>
    </row>
    <row r="252" spans="2:16" x14ac:dyDescent="0.25">
      <c r="B252" s="86"/>
      <c r="C252" s="93"/>
      <c r="D252" s="217"/>
      <c r="E252" s="216"/>
      <c r="F252" s="86"/>
      <c r="G252" s="93"/>
      <c r="H252" s="217"/>
      <c r="I252" s="9"/>
      <c r="J252" s="218"/>
      <c r="L252" s="65"/>
      <c r="M252" s="66"/>
      <c r="N252" s="67"/>
      <c r="O252" s="216"/>
      <c r="P252" s="218"/>
    </row>
    <row r="253" spans="2:16" ht="18" customHeight="1" thickBot="1" x14ac:dyDescent="0.3">
      <c r="B253" s="86"/>
      <c r="C253" s="93"/>
      <c r="D253" s="217"/>
      <c r="E253" s="216"/>
      <c r="F253" s="86"/>
      <c r="G253" s="93"/>
      <c r="H253" s="217"/>
      <c r="I253" s="9"/>
      <c r="J253" s="218"/>
      <c r="L253" s="65"/>
      <c r="M253" s="66"/>
      <c r="N253" s="67"/>
      <c r="O253" s="216"/>
      <c r="P253" s="221"/>
    </row>
    <row r="254" spans="2:16" x14ac:dyDescent="0.25">
      <c r="B254" s="80"/>
      <c r="C254" s="81"/>
      <c r="D254" s="222"/>
      <c r="F254" s="80"/>
      <c r="G254" s="81"/>
      <c r="H254" s="222"/>
      <c r="J254" s="69"/>
      <c r="L254" s="70"/>
      <c r="M254" s="71"/>
      <c r="N254" s="72"/>
      <c r="O254" s="216"/>
      <c r="P254" s="205"/>
    </row>
    <row r="255" spans="2:16" ht="18" customHeight="1" thickBot="1" x14ac:dyDescent="0.3">
      <c r="B255" s="62"/>
      <c r="C255" s="63"/>
      <c r="D255" s="223"/>
      <c r="E255" s="216"/>
      <c r="F255" s="62"/>
      <c r="G255" s="63"/>
      <c r="H255" s="223"/>
      <c r="I255" s="9"/>
      <c r="J255" s="73"/>
      <c r="L255" s="74"/>
      <c r="M255" s="75"/>
      <c r="N255" s="68"/>
      <c r="O255" s="216"/>
      <c r="P255" s="5"/>
    </row>
    <row r="256" spans="2:16" ht="18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205"/>
      <c r="L257" s="259"/>
      <c r="M257" s="260"/>
      <c r="N257" s="261"/>
      <c r="O257" s="149"/>
      <c r="P257" s="205"/>
    </row>
    <row r="258" spans="2:16" x14ac:dyDescent="0.25">
      <c r="B258" s="262"/>
      <c r="C258" s="257"/>
      <c r="D258" s="61"/>
      <c r="E258" s="216"/>
      <c r="F258" s="262"/>
      <c r="G258" s="257"/>
      <c r="H258" s="61"/>
      <c r="I258" s="9"/>
      <c r="J258" s="203"/>
      <c r="L258" s="256"/>
      <c r="M258" s="257"/>
      <c r="N258" s="258"/>
      <c r="O258" s="59"/>
      <c r="P258" s="3"/>
    </row>
    <row r="259" spans="2:16" x14ac:dyDescent="0.25">
      <c r="B259" s="145"/>
      <c r="C259" s="93"/>
      <c r="D259" s="60"/>
      <c r="E259" s="216"/>
      <c r="F259" s="145"/>
      <c r="G259" s="93"/>
      <c r="H259" s="60"/>
      <c r="I259" s="9"/>
      <c r="J259" s="64"/>
      <c r="L259" s="146"/>
      <c r="M259" s="147"/>
      <c r="N259" s="148"/>
      <c r="O259" s="2"/>
      <c r="P259" s="3"/>
    </row>
    <row r="260" spans="2:16" x14ac:dyDescent="0.25">
      <c r="B260" s="86"/>
      <c r="C260" s="93"/>
      <c r="D260" s="217"/>
      <c r="E260" s="216"/>
      <c r="F260" s="86"/>
      <c r="G260" s="93"/>
      <c r="H260" s="217"/>
      <c r="I260" s="9"/>
      <c r="J260" s="218"/>
      <c r="L260" s="65"/>
      <c r="M260" s="66"/>
      <c r="N260" s="67"/>
      <c r="O260" s="216"/>
      <c r="P260" s="218"/>
    </row>
    <row r="261" spans="2:16" x14ac:dyDescent="0.25">
      <c r="B261" s="86"/>
      <c r="C261" s="93"/>
      <c r="D261" s="217"/>
      <c r="E261" s="216"/>
      <c r="F261" s="86"/>
      <c r="G261" s="93"/>
      <c r="H261" s="217"/>
      <c r="I261" s="9"/>
      <c r="J261" s="218"/>
      <c r="L261" s="65"/>
      <c r="M261" s="66"/>
      <c r="N261" s="67"/>
      <c r="O261" s="216"/>
      <c r="P261" s="3"/>
    </row>
    <row r="262" spans="2:16" x14ac:dyDescent="0.25">
      <c r="B262" s="86"/>
      <c r="C262" s="93"/>
      <c r="D262" s="217"/>
      <c r="E262" s="216"/>
      <c r="F262" s="86"/>
      <c r="G262" s="93"/>
      <c r="H262" s="217"/>
      <c r="I262" s="9"/>
      <c r="J262" s="218"/>
      <c r="L262" s="65"/>
      <c r="M262" s="66"/>
      <c r="N262" s="67"/>
      <c r="O262" s="216"/>
      <c r="P262" s="3"/>
    </row>
    <row r="263" spans="2:16" x14ac:dyDescent="0.25">
      <c r="B263" s="86"/>
      <c r="C263" s="93"/>
      <c r="D263" s="217"/>
      <c r="E263" s="216"/>
      <c r="F263" s="86"/>
      <c r="G263" s="93"/>
      <c r="H263" s="217"/>
      <c r="I263" s="9"/>
      <c r="J263" s="218"/>
      <c r="L263" s="65"/>
      <c r="M263" s="66"/>
      <c r="N263" s="67"/>
      <c r="O263" s="216"/>
      <c r="P263" s="218"/>
    </row>
    <row r="264" spans="2:16" ht="18" customHeight="1" thickBot="1" x14ac:dyDescent="0.3">
      <c r="B264" s="86"/>
      <c r="C264" s="93"/>
      <c r="D264" s="217"/>
      <c r="E264" s="216"/>
      <c r="F264" s="86"/>
      <c r="G264" s="93"/>
      <c r="H264" s="217"/>
      <c r="I264" s="9"/>
      <c r="J264" s="218"/>
      <c r="L264" s="65"/>
      <c r="M264" s="66"/>
      <c r="N264" s="67"/>
      <c r="O264" s="216"/>
      <c r="P264" s="221"/>
    </row>
    <row r="265" spans="2:16" x14ac:dyDescent="0.25">
      <c r="B265" s="80"/>
      <c r="C265" s="81"/>
      <c r="D265" s="222"/>
      <c r="F265" s="80"/>
      <c r="G265" s="81"/>
      <c r="H265" s="222"/>
      <c r="J265" s="69"/>
      <c r="L265" s="70"/>
      <c r="M265" s="71"/>
      <c r="N265" s="72"/>
      <c r="O265" s="216"/>
      <c r="P265" s="205"/>
    </row>
    <row r="266" spans="2:16" ht="18" customHeight="1" thickBot="1" x14ac:dyDescent="0.3">
      <c r="B266" s="62"/>
      <c r="C266" s="63"/>
      <c r="D266" s="223"/>
      <c r="E266" s="216"/>
      <c r="F266" s="62"/>
      <c r="G266" s="63"/>
      <c r="H266" s="223"/>
      <c r="I266" s="9"/>
      <c r="J266" s="73"/>
      <c r="L266" s="74"/>
      <c r="M266" s="75"/>
      <c r="N266" s="68"/>
      <c r="O266" s="216"/>
      <c r="P266" s="5"/>
    </row>
    <row r="267" spans="2:16" ht="18" customHeight="1" thickBot="1" x14ac:dyDescent="0.3"/>
    <row r="268" spans="2:16" x14ac:dyDescent="0.25">
      <c r="B268" s="174"/>
      <c r="C268" s="175"/>
      <c r="D268" s="176"/>
      <c r="E268" s="2"/>
      <c r="F268" s="174"/>
      <c r="G268" s="175"/>
      <c r="H268" s="176"/>
      <c r="I268" s="2"/>
      <c r="J268" s="205"/>
      <c r="L268" s="205"/>
      <c r="M268" s="177"/>
      <c r="N268" s="178"/>
      <c r="O268" s="149"/>
      <c r="P268" s="205"/>
    </row>
    <row r="269" spans="2:16" x14ac:dyDescent="0.25">
      <c r="B269" s="204"/>
      <c r="C269" s="83"/>
      <c r="D269" s="61"/>
      <c r="E269" s="216"/>
      <c r="F269" s="204"/>
      <c r="G269" s="83"/>
      <c r="H269" s="61"/>
      <c r="I269" s="9"/>
      <c r="J269" s="203"/>
      <c r="L269" s="203"/>
      <c r="M269" s="206"/>
      <c r="N269" s="179"/>
      <c r="O269" s="59"/>
      <c r="P269" s="3"/>
    </row>
    <row r="270" spans="2:16" x14ac:dyDescent="0.25">
      <c r="B270" s="145"/>
      <c r="C270" s="93"/>
      <c r="D270" s="60"/>
      <c r="E270" s="216"/>
      <c r="F270" s="145"/>
      <c r="G270" s="93"/>
      <c r="H270" s="60"/>
      <c r="I270" s="9"/>
      <c r="J270" s="64"/>
      <c r="L270" s="146"/>
      <c r="M270" s="147"/>
      <c r="N270" s="148"/>
      <c r="O270" s="2"/>
      <c r="P270" s="3"/>
    </row>
    <row r="271" spans="2:16" x14ac:dyDescent="0.25">
      <c r="B271" s="86"/>
      <c r="C271" s="93"/>
      <c r="D271" s="217"/>
      <c r="E271" s="216"/>
      <c r="F271" s="86"/>
      <c r="G271" s="93"/>
      <c r="H271" s="217"/>
      <c r="I271" s="9"/>
      <c r="J271" s="218"/>
      <c r="L271" s="65"/>
      <c r="M271" s="66"/>
      <c r="N271" s="67"/>
      <c r="O271" s="216"/>
      <c r="P271" s="218"/>
    </row>
    <row r="272" spans="2:16" x14ac:dyDescent="0.25">
      <c r="B272" s="86"/>
      <c r="C272" s="93"/>
      <c r="D272" s="217"/>
      <c r="E272" s="216"/>
      <c r="F272" s="86"/>
      <c r="G272" s="93"/>
      <c r="H272" s="217"/>
      <c r="I272" s="9"/>
      <c r="J272" s="218"/>
      <c r="L272" s="65"/>
      <c r="M272" s="66"/>
      <c r="N272" s="67"/>
      <c r="O272" s="216"/>
      <c r="P272" s="3"/>
    </row>
    <row r="273" spans="2:16" x14ac:dyDescent="0.25">
      <c r="B273" s="86"/>
      <c r="C273" s="93"/>
      <c r="D273" s="217"/>
      <c r="E273" s="216"/>
      <c r="F273" s="86"/>
      <c r="G273" s="93"/>
      <c r="H273" s="217"/>
      <c r="I273" s="9"/>
      <c r="J273" s="218"/>
      <c r="L273" s="65"/>
      <c r="M273" s="66"/>
      <c r="N273" s="67"/>
      <c r="O273" s="216"/>
      <c r="P273" s="3"/>
    </row>
    <row r="274" spans="2:16" x14ac:dyDescent="0.25">
      <c r="B274" s="86"/>
      <c r="C274" s="93"/>
      <c r="D274" s="217"/>
      <c r="E274" s="216"/>
      <c r="F274" s="86"/>
      <c r="G274" s="93"/>
      <c r="H274" s="217"/>
      <c r="I274" s="9"/>
      <c r="J274" s="218"/>
      <c r="L274" s="65"/>
      <c r="M274" s="66"/>
      <c r="N274" s="67"/>
      <c r="O274" s="216"/>
      <c r="P274" s="218"/>
    </row>
    <row r="275" spans="2:16" ht="18" customHeight="1" thickBot="1" x14ac:dyDescent="0.3">
      <c r="B275" s="86"/>
      <c r="C275" s="93"/>
      <c r="D275" s="217"/>
      <c r="E275" s="216"/>
      <c r="F275" s="86"/>
      <c r="G275" s="93"/>
      <c r="H275" s="217"/>
      <c r="I275" s="9"/>
      <c r="J275" s="218"/>
      <c r="L275" s="65"/>
      <c r="M275" s="66"/>
      <c r="N275" s="67"/>
      <c r="O275" s="216"/>
      <c r="P275" s="221"/>
    </row>
    <row r="276" spans="2:16" x14ac:dyDescent="0.25">
      <c r="B276" s="80"/>
      <c r="C276" s="81"/>
      <c r="D276" s="222"/>
      <c r="F276" s="80"/>
      <c r="G276" s="81"/>
      <c r="H276" s="222"/>
      <c r="J276" s="69"/>
      <c r="L276" s="70"/>
      <c r="M276" s="71"/>
      <c r="N276" s="72"/>
      <c r="O276" s="216"/>
      <c r="P276" s="205"/>
    </row>
    <row r="277" spans="2:16" ht="18" customHeight="1" thickBot="1" x14ac:dyDescent="0.3">
      <c r="B277" s="62"/>
      <c r="C277" s="63"/>
      <c r="D277" s="223"/>
      <c r="E277" s="216"/>
      <c r="F277" s="62"/>
      <c r="G277" s="63"/>
      <c r="H277" s="223"/>
      <c r="I277" s="9"/>
      <c r="J277" s="73"/>
      <c r="L277" s="74"/>
      <c r="M277" s="75"/>
      <c r="N277" s="68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58:G258"/>
    <mergeCell ref="F27:G27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B170:C170"/>
    <mergeCell ref="F203:G203"/>
    <mergeCell ref="L81:N81"/>
    <mergeCell ref="F37:H37"/>
    <mergeCell ref="B82:C82"/>
    <mergeCell ref="F181:G181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191:D191"/>
    <mergeCell ref="B71:C7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Q18" sqref="Q18"/>
    </sheetView>
  </sheetViews>
  <sheetFormatPr defaultColWidth="9" defaultRowHeight="15.6" x14ac:dyDescent="0.25"/>
  <cols>
    <col min="1" max="1" width="1.69921875" style="202" bestFit="1" customWidth="1"/>
    <col min="2" max="2" width="6.69921875" style="202" customWidth="1"/>
    <col min="3" max="3" width="9.296875" style="202" customWidth="1"/>
    <col min="4" max="4" width="14.296875" style="202" customWidth="1"/>
    <col min="5" max="5" width="4.69921875" style="202" customWidth="1"/>
    <col min="6" max="6" width="6.69921875" style="202" customWidth="1"/>
    <col min="7" max="7" width="9.296875" style="202" customWidth="1"/>
    <col min="8" max="8" width="14.296875" style="202" customWidth="1"/>
    <col min="9" max="9" width="4.69921875" style="202" customWidth="1"/>
    <col min="10" max="10" width="9.69921875" style="202" customWidth="1"/>
    <col min="11" max="11" width="4.69921875" style="202" customWidth="1"/>
    <col min="12" max="12" width="14.296875" style="202" bestFit="1" customWidth="1"/>
    <col min="13" max="13" width="16.09765625" style="202" bestFit="1" customWidth="1"/>
    <col min="14" max="14" width="7.69921875" style="202" bestFit="1" customWidth="1"/>
    <col min="15" max="15" width="4.69921875" style="202" customWidth="1"/>
    <col min="16" max="16" width="9.69921875" style="202" bestFit="1" customWidth="1"/>
    <col min="17" max="17" width="4.69921875" style="202" customWidth="1"/>
    <col min="18" max="18" width="84.69921875" style="202" customWidth="1"/>
    <col min="19" max="19" width="6.3984375" style="202" bestFit="1" customWidth="1"/>
    <col min="20" max="20" width="9.69921875" style="202" bestFit="1" customWidth="1"/>
    <col min="21" max="21" width="1.69921875" style="202" bestFit="1" customWidth="1"/>
    <col min="22" max="22" width="7.69921875" style="202" bestFit="1" customWidth="1"/>
    <col min="23" max="23" width="1.69921875" style="202" bestFit="1" customWidth="1"/>
    <col min="24" max="24" width="14.296875" style="202" bestFit="1" customWidth="1"/>
    <col min="25" max="25" width="16.09765625" style="202" bestFit="1" customWidth="1"/>
    <col min="26" max="26" width="5.09765625" style="202" bestFit="1" customWidth="1"/>
    <col min="27" max="27" width="1.69921875" style="202" bestFit="1" customWidth="1"/>
    <col min="28" max="28" width="8.09765625" style="206" bestFit="1" customWidth="1"/>
    <col min="29" max="29" width="9" style="202" customWidth="1"/>
    <col min="30" max="30" width="1.296875" style="202" bestFit="1" customWidth="1"/>
    <col min="31" max="31" width="80.69921875" style="202" customWidth="1"/>
    <col min="32" max="32" width="1.296875" style="202" bestFit="1" customWidth="1"/>
    <col min="33" max="38" width="9" style="202" customWidth="1"/>
  </cols>
  <sheetData>
    <row r="1" spans="1:32" x14ac:dyDescent="0.25">
      <c r="AD1" s="10"/>
      <c r="AF1" s="10"/>
    </row>
    <row r="2" spans="1:32" x14ac:dyDescent="0.25">
      <c r="B2" s="264" t="str">
        <f>'Summary (auto)'!C3</f>
        <v>MPEG151-octree</v>
      </c>
      <c r="C2" s="257"/>
      <c r="D2" s="257"/>
      <c r="E2" s="83"/>
      <c r="F2" s="264" t="str">
        <f>'Summary (auto)'!C4</f>
        <v>MPEG151-修改上下文</v>
      </c>
      <c r="G2" s="257"/>
      <c r="H2" s="257"/>
      <c r="I2" s="206"/>
      <c r="J2" s="201" t="s">
        <v>42</v>
      </c>
      <c r="K2" s="206"/>
      <c r="L2" s="263" t="s">
        <v>43</v>
      </c>
      <c r="M2" s="257"/>
      <c r="N2" s="257"/>
      <c r="O2" s="206"/>
      <c r="P2" s="201" t="s">
        <v>44</v>
      </c>
      <c r="U2" s="201"/>
      <c r="V2" s="201"/>
    </row>
    <row r="3" spans="1:32" ht="16.5" customHeight="1" thickBot="1" x14ac:dyDescent="0.3">
      <c r="A3" s="143"/>
      <c r="B3" s="83"/>
      <c r="C3" s="83"/>
      <c r="D3" s="83"/>
      <c r="E3" s="83"/>
      <c r="F3" s="83"/>
      <c r="G3" s="83"/>
      <c r="H3" s="83"/>
      <c r="I3" s="206"/>
      <c r="J3" s="206"/>
      <c r="K3" s="144"/>
      <c r="L3" s="76" t="s">
        <v>59</v>
      </c>
      <c r="M3" s="76" t="s">
        <v>60</v>
      </c>
      <c r="N3" s="206"/>
      <c r="O3" s="144"/>
      <c r="P3" s="206"/>
      <c r="U3" s="143"/>
      <c r="W3" s="143"/>
    </row>
    <row r="4" spans="1:32" x14ac:dyDescent="0.25">
      <c r="B4" s="265" t="s">
        <v>19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205"/>
      <c r="L4" s="259" t="str">
        <f>F4</f>
        <v>bartender_track</v>
      </c>
      <c r="M4" s="260"/>
      <c r="N4" s="261"/>
      <c r="O4" s="149"/>
      <c r="P4" s="205"/>
      <c r="Q4" s="149"/>
      <c r="R4" s="149"/>
      <c r="S4" s="149"/>
      <c r="T4" s="149"/>
      <c r="U4" s="206"/>
      <c r="V4" s="206"/>
      <c r="X4" s="266"/>
      <c r="Y4" s="257"/>
      <c r="Z4" s="257"/>
    </row>
    <row r="5" spans="1:32" x14ac:dyDescent="0.25">
      <c r="B5" s="262" t="s">
        <v>47</v>
      </c>
      <c r="C5" s="257"/>
      <c r="D5" s="61" t="s">
        <v>48</v>
      </c>
      <c r="E5" s="216"/>
      <c r="F5" s="262" t="s">
        <v>47</v>
      </c>
      <c r="G5" s="257"/>
      <c r="H5" s="61" t="s">
        <v>48</v>
      </c>
      <c r="I5" s="9"/>
      <c r="J5" s="203" t="s">
        <v>49</v>
      </c>
      <c r="L5" s="256" t="s">
        <v>61</v>
      </c>
      <c r="M5" s="257"/>
      <c r="N5" s="258"/>
      <c r="O5" s="59"/>
      <c r="P5" s="3"/>
      <c r="Q5" s="59"/>
      <c r="R5" s="263"/>
      <c r="S5" s="257"/>
      <c r="T5" s="257"/>
      <c r="U5" s="201"/>
      <c r="V5" s="201"/>
      <c r="X5" s="263"/>
      <c r="Y5" s="257"/>
      <c r="Z5" s="257"/>
    </row>
    <row r="6" spans="1:32" x14ac:dyDescent="0.25">
      <c r="B6" s="145" t="s">
        <v>0</v>
      </c>
      <c r="C6" s="93" t="s">
        <v>51</v>
      </c>
      <c r="D6" s="60" t="s">
        <v>52</v>
      </c>
      <c r="E6" s="216"/>
      <c r="F6" s="145" t="s">
        <v>0</v>
      </c>
      <c r="G6" s="93" t="s">
        <v>51</v>
      </c>
      <c r="H6" s="60" t="s">
        <v>52</v>
      </c>
      <c r="I6" s="9"/>
      <c r="J6" s="64"/>
      <c r="L6" s="146" t="str">
        <f>CONCATENATE(B$2," ",L4)</f>
        <v>MPEG151-octree bartender_track</v>
      </c>
      <c r="M6" s="147" t="str">
        <f>CONCATENATE(F$2," ",L4)</f>
        <v>MPEG151-修改上下文 bartender_track</v>
      </c>
      <c r="N6" s="148" t="s">
        <v>53</v>
      </c>
      <c r="O6" s="2"/>
      <c r="P6" s="3" t="s">
        <v>44</v>
      </c>
      <c r="Q6" s="2"/>
      <c r="R6" s="2"/>
      <c r="S6" s="2"/>
      <c r="T6" s="2"/>
      <c r="U6" s="2"/>
      <c r="V6" s="2"/>
      <c r="X6" s="149"/>
      <c r="Y6" s="149"/>
      <c r="Z6" s="149"/>
    </row>
    <row r="7" spans="1:32" x14ac:dyDescent="0.25">
      <c r="B7" s="86" t="str">
        <f>B4</f>
        <v>bartender_track</v>
      </c>
      <c r="C7" s="93" t="s">
        <v>54</v>
      </c>
      <c r="D7" s="217">
        <f ca="1">0.000001*INDIRECT($B7&amp;"!E5")</f>
        <v>4.7279939999999998</v>
      </c>
      <c r="E7" s="216"/>
      <c r="F7" s="86" t="str">
        <f>F4</f>
        <v>bartender_track</v>
      </c>
      <c r="G7" s="93" t="s">
        <v>54</v>
      </c>
      <c r="H7" s="217">
        <f ca="1">0.000001*INDIRECT($B7&amp;"!AC5")</f>
        <v>4.7251889999999994</v>
      </c>
      <c r="I7" s="9"/>
      <c r="J7" s="218">
        <f ca="1">H7/D7-1</f>
        <v>-5.9327486456206557E-4</v>
      </c>
      <c r="L7" s="65">
        <f ca="1">INDIRECT($B7&amp;"!"&amp;L$3&amp;"5")</f>
        <v>32.44619999999999</v>
      </c>
      <c r="M7" s="66">
        <f ca="1">INDIRECT($B7&amp;"!"&amp;M$3&amp;"5")</f>
        <v>32.446208179999999</v>
      </c>
      <c r="N7" s="67">
        <f ca="1">M7-L7</f>
        <v>8.1800000089060632E-6</v>
      </c>
      <c r="O7" s="216"/>
      <c r="P7" s="218">
        <f ca="1">bdRateExtend(D7:D11,L7:L11,H7:H11,M7:M11)</f>
        <v>-3.390966068750334E-4</v>
      </c>
      <c r="Q7" s="216"/>
      <c r="R7" s="9"/>
      <c r="S7" s="9"/>
      <c r="T7" s="9"/>
      <c r="U7" s="9"/>
      <c r="V7" s="219"/>
      <c r="X7" s="6"/>
      <c r="Y7" s="6"/>
      <c r="Z7" s="56"/>
      <c r="AB7" s="220"/>
    </row>
    <row r="8" spans="1:32" x14ac:dyDescent="0.25">
      <c r="B8" s="86" t="str">
        <f>B7</f>
        <v>bartender_track</v>
      </c>
      <c r="C8" s="93" t="s">
        <v>55</v>
      </c>
      <c r="D8" s="217">
        <f ca="1">0.000001*INDIRECT($B8&amp;"!E6")</f>
        <v>6.9946069999999994</v>
      </c>
      <c r="E8" s="216"/>
      <c r="F8" s="86" t="str">
        <f>F7</f>
        <v>bartender_track</v>
      </c>
      <c r="G8" s="93" t="s">
        <v>55</v>
      </c>
      <c r="H8" s="217">
        <f ca="1">0.000001*INDIRECT($B8&amp;"!AC6")</f>
        <v>6.9918019999999999</v>
      </c>
      <c r="I8" s="9"/>
      <c r="J8" s="218">
        <f ca="1">H8/D8-1</f>
        <v>-4.010232454803031E-4</v>
      </c>
      <c r="L8" s="65">
        <f ca="1">INDIRECT($B8&amp;"!"&amp;L$3&amp;"6")</f>
        <v>36.293133333333337</v>
      </c>
      <c r="M8" s="66">
        <f ca="1">INDIRECT($B8&amp;"!"&amp;M$3&amp;"6")</f>
        <v>36.293138929999998</v>
      </c>
      <c r="N8" s="67">
        <f ca="1">M8-L8</f>
        <v>5.5966666607787374E-6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6"/>
    </row>
    <row r="9" spans="1:32" x14ac:dyDescent="0.25">
      <c r="B9" s="86" t="str">
        <f>B8</f>
        <v>bartender_track</v>
      </c>
      <c r="C9" s="93" t="s">
        <v>56</v>
      </c>
      <c r="D9" s="217">
        <f ca="1">0.000001*INDIRECT($B9&amp;"!E7")</f>
        <v>10.471855</v>
      </c>
      <c r="E9" s="216"/>
      <c r="F9" s="86" t="str">
        <f>F8</f>
        <v>bartender_track</v>
      </c>
      <c r="G9" s="93" t="s">
        <v>56</v>
      </c>
      <c r="H9" s="217">
        <f ca="1">0.000001*INDIRECT($B9&amp;"!AC7")</f>
        <v>10.469049999999999</v>
      </c>
      <c r="I9" s="9"/>
      <c r="J9" s="218">
        <f ca="1">H9/D9-1</f>
        <v>-2.6786085177843422E-4</v>
      </c>
      <c r="L9" s="65">
        <f ca="1">INDIRECT($B9&amp;"!"&amp;L$3&amp;"7")</f>
        <v>40.74299523809524</v>
      </c>
      <c r="M9" s="66">
        <f ca="1">INDIRECT($B9&amp;"!"&amp;M$3&amp;"7")</f>
        <v>40.742995610000001</v>
      </c>
      <c r="N9" s="67">
        <f ca="1">M9-L9</f>
        <v>3.719047612094073E-7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6"/>
    </row>
    <row r="10" spans="1:32" x14ac:dyDescent="0.25">
      <c r="B10" s="86" t="str">
        <f>B9</f>
        <v>bartender_track</v>
      </c>
      <c r="C10" s="93" t="s">
        <v>57</v>
      </c>
      <c r="D10" s="217">
        <f ca="1">0.000001*INDIRECT($B10&amp;"!E8")</f>
        <v>15.070107</v>
      </c>
      <c r="E10" s="216"/>
      <c r="F10" s="86" t="str">
        <f>F9</f>
        <v>bartender_track</v>
      </c>
      <c r="G10" s="93" t="s">
        <v>57</v>
      </c>
      <c r="H10" s="217">
        <f ca="1">0.000001*INDIRECT($B10&amp;"!AC8")</f>
        <v>15.067302</v>
      </c>
      <c r="I10" s="9"/>
      <c r="J10" s="218">
        <f ca="1">H10/D10-1</f>
        <v>-1.8613006530077136E-4</v>
      </c>
      <c r="L10" s="65">
        <f ca="1">INDIRECT($B10&amp;"!"&amp;L$3&amp;"8")</f>
        <v>43.845704761904763</v>
      </c>
      <c r="M10" s="66">
        <f ca="1">INDIRECT($B10&amp;"!"&amp;M$3&amp;"8")</f>
        <v>43.84570222</v>
      </c>
      <c r="N10" s="67">
        <f ca="1">M10-L10</f>
        <v>-2.5419047631203284E-6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6"/>
    </row>
    <row r="11" spans="1:32" ht="16.5" customHeight="1" thickBot="1" x14ac:dyDescent="0.3">
      <c r="B11" s="86" t="str">
        <f>B10</f>
        <v>bartender_track</v>
      </c>
      <c r="C11" s="93" t="s">
        <v>58</v>
      </c>
      <c r="D11" s="217">
        <f ca="1">0.000001*INDIRECT($B11&amp;"!E9")</f>
        <v>19.405922</v>
      </c>
      <c r="E11" s="216"/>
      <c r="F11" s="86" t="str">
        <f>F10</f>
        <v>bartender_track</v>
      </c>
      <c r="G11" s="93" t="s">
        <v>58</v>
      </c>
      <c r="H11" s="217">
        <f ca="1">0.000001*INDIRECT($B11&amp;"!AC9")</f>
        <v>19.403116999999998</v>
      </c>
      <c r="I11" s="9"/>
      <c r="J11" s="218">
        <f ca="1">H11/D11-1</f>
        <v>-1.4454350584336417E-4</v>
      </c>
      <c r="L11" s="65">
        <f ca="1">INDIRECT($B11&amp;"!"&amp;L$3&amp;"9")</f>
        <v>45.015971428571433</v>
      </c>
      <c r="M11" s="66">
        <f ca="1">INDIRECT($B11&amp;"!"&amp;M$3&amp;"9")</f>
        <v>45.015964480000001</v>
      </c>
      <c r="N11" s="67">
        <f ca="1">M11-L11</f>
        <v>-6.9485714320194347E-6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6"/>
      <c r="AB11" s="220"/>
    </row>
    <row r="12" spans="1:32" ht="16.5" customHeight="1" x14ac:dyDescent="0.25">
      <c r="B12" s="80"/>
      <c r="C12" s="81"/>
      <c r="D12" s="222"/>
      <c r="F12" s="80"/>
      <c r="G12" s="81"/>
      <c r="H12" s="222"/>
      <c r="J12" s="69">
        <f ca="1">MIN(D7:D11,H7:H11)</f>
        <v>4.7251889999999994</v>
      </c>
      <c r="L12" s="70"/>
      <c r="M12" s="71"/>
      <c r="N12" s="72"/>
      <c r="O12" s="216"/>
      <c r="P12" s="205"/>
      <c r="Q12" s="216"/>
      <c r="R12" s="9"/>
      <c r="S12" s="9"/>
      <c r="T12" s="9"/>
      <c r="U12" s="9"/>
      <c r="V12" s="57"/>
      <c r="X12" s="6"/>
      <c r="Y12" s="6"/>
      <c r="Z12" s="56"/>
    </row>
    <row r="13" spans="1:32" ht="16.5" customHeight="1" thickBot="1" x14ac:dyDescent="0.3">
      <c r="B13" s="62"/>
      <c r="C13" s="63"/>
      <c r="D13" s="223"/>
      <c r="E13" s="216"/>
      <c r="F13" s="62"/>
      <c r="G13" s="63"/>
      <c r="H13" s="223"/>
      <c r="I13" s="9"/>
      <c r="J13" s="73">
        <f ca="1">MAX(D7:D11,H7:H11)</f>
        <v>19.405922</v>
      </c>
      <c r="L13" s="74">
        <f>L12</f>
        <v>0</v>
      </c>
      <c r="M13" s="75">
        <f>M12</f>
        <v>0</v>
      </c>
      <c r="N13" s="68"/>
      <c r="O13" s="216"/>
      <c r="P13" s="5"/>
      <c r="Q13" s="216"/>
      <c r="R13" s="9"/>
      <c r="S13" s="9"/>
      <c r="T13" s="9"/>
      <c r="U13" s="9"/>
      <c r="V13" s="57"/>
      <c r="X13" s="58"/>
      <c r="Y13" s="58"/>
      <c r="Z13" s="56"/>
    </row>
    <row r="14" spans="1:32" ht="16.5" customHeight="1" thickBot="1" x14ac:dyDescent="0.3">
      <c r="B14" s="83"/>
      <c r="C14" s="83"/>
      <c r="D14" s="224"/>
      <c r="E14" s="216"/>
      <c r="F14" s="83"/>
      <c r="G14" s="83"/>
      <c r="H14" s="224"/>
    </row>
    <row r="15" spans="1:32" x14ac:dyDescent="0.25">
      <c r="B15" s="265" t="s">
        <v>20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205"/>
      <c r="L15" s="259" t="str">
        <f>F15</f>
        <v>breakfast_track</v>
      </c>
      <c r="M15" s="260"/>
      <c r="N15" s="261"/>
      <c r="O15" s="149"/>
      <c r="P15" s="205"/>
      <c r="Q15" s="149"/>
      <c r="R15" s="149"/>
      <c r="S15" s="149"/>
      <c r="T15" s="149"/>
      <c r="U15" s="206"/>
      <c r="V15" s="206"/>
      <c r="X15" s="266"/>
      <c r="Y15" s="257"/>
      <c r="Z15" s="257"/>
    </row>
    <row r="16" spans="1:32" x14ac:dyDescent="0.25">
      <c r="B16" s="262" t="s">
        <v>47</v>
      </c>
      <c r="C16" s="257"/>
      <c r="D16" s="61" t="s">
        <v>48</v>
      </c>
      <c r="E16" s="216"/>
      <c r="F16" s="262" t="s">
        <v>47</v>
      </c>
      <c r="G16" s="257"/>
      <c r="H16" s="61" t="s">
        <v>48</v>
      </c>
      <c r="I16" s="9"/>
      <c r="J16" s="203" t="s">
        <v>49</v>
      </c>
      <c r="L16" s="256" t="s">
        <v>61</v>
      </c>
      <c r="M16" s="257"/>
      <c r="N16" s="258"/>
      <c r="O16" s="59"/>
      <c r="P16" s="3"/>
      <c r="Q16" s="59"/>
      <c r="R16" s="263"/>
      <c r="S16" s="257"/>
      <c r="T16" s="257"/>
      <c r="U16" s="201"/>
      <c r="V16" s="201"/>
      <c r="X16" s="263"/>
      <c r="Y16" s="257"/>
      <c r="Z16" s="257"/>
    </row>
    <row r="17" spans="2:28" x14ac:dyDescent="0.25">
      <c r="B17" s="145" t="s">
        <v>0</v>
      </c>
      <c r="C17" s="93" t="s">
        <v>51</v>
      </c>
      <c r="D17" s="60" t="s">
        <v>52</v>
      </c>
      <c r="E17" s="216"/>
      <c r="F17" s="145" t="s">
        <v>0</v>
      </c>
      <c r="G17" s="93" t="s">
        <v>51</v>
      </c>
      <c r="H17" s="60" t="s">
        <v>52</v>
      </c>
      <c r="I17" s="9"/>
      <c r="J17" s="64"/>
      <c r="L17" s="146" t="str">
        <f>CONCATENATE(B$2," ",L15)</f>
        <v>MPEG151-octree breakfast_track</v>
      </c>
      <c r="M17" s="147" t="str">
        <f>CONCATENATE(F$2," ",L15)</f>
        <v>MPEG151-修改上下文 breakfast_track</v>
      </c>
      <c r="N17" s="148" t="s">
        <v>53</v>
      </c>
      <c r="O17" s="2"/>
      <c r="P17" s="3" t="s">
        <v>44</v>
      </c>
      <c r="Q17" s="2"/>
      <c r="R17" s="2"/>
      <c r="S17" s="2"/>
      <c r="T17" s="2"/>
      <c r="U17" s="2"/>
      <c r="V17" s="2"/>
      <c r="X17" s="149"/>
      <c r="Y17" s="149"/>
      <c r="Z17" s="149"/>
    </row>
    <row r="18" spans="2:28" x14ac:dyDescent="0.25">
      <c r="B18" s="86" t="str">
        <f>B15</f>
        <v>breakfast_track</v>
      </c>
      <c r="C18" s="93" t="s">
        <v>54</v>
      </c>
      <c r="D18" s="217">
        <f ca="1">0.000001*INDIRECT($B18&amp;"!E5")</f>
        <v>4.6121470000000002</v>
      </c>
      <c r="E18" s="216"/>
      <c r="F18" s="86" t="str">
        <f>F15</f>
        <v>breakfast_track</v>
      </c>
      <c r="G18" s="93" t="s">
        <v>54</v>
      </c>
      <c r="H18" s="217">
        <f ca="1">0.000001*INDIRECT($B18&amp;"!AC5")</f>
        <v>4.6105029999999996</v>
      </c>
      <c r="I18" s="9"/>
      <c r="J18" s="218">
        <f ca="1">H18/D18-1</f>
        <v>-3.5645004376505529E-4</v>
      </c>
      <c r="L18" s="65">
        <f ca="1">INDIRECT($B18&amp;"!"&amp;L$3&amp;"5")</f>
        <v>28.954166666666669</v>
      </c>
      <c r="M18" s="66">
        <f ca="1">INDIRECT($B18&amp;"!"&amp;M$3&amp;"5")</f>
        <v>28.954166529999998</v>
      </c>
      <c r="N18" s="67">
        <f ca="1">M18-L18</f>
        <v>-1.3666667086909001E-7</v>
      </c>
      <c r="O18" s="216"/>
      <c r="P18" s="218">
        <f ca="1">bdRateExtend(D18:D22,L18:L22,H18:H22,M18:M22)</f>
        <v>-2.1440964132435347E-4</v>
      </c>
      <c r="Q18" s="216"/>
      <c r="R18" s="9"/>
      <c r="S18" s="9"/>
      <c r="T18" s="9"/>
      <c r="U18" s="9"/>
      <c r="V18" s="219"/>
      <c r="X18" s="6"/>
      <c r="Y18" s="6"/>
      <c r="Z18" s="56"/>
      <c r="AB18" s="220"/>
    </row>
    <row r="19" spans="2:28" x14ac:dyDescent="0.25">
      <c r="B19" s="86" t="str">
        <f>B18</f>
        <v>breakfast_track</v>
      </c>
      <c r="C19" s="93" t="s">
        <v>55</v>
      </c>
      <c r="D19" s="217">
        <f ca="1">0.000001*INDIRECT($B19&amp;"!E6")</f>
        <v>6.6383890000000001</v>
      </c>
      <c r="E19" s="216"/>
      <c r="F19" s="86" t="str">
        <f>F18</f>
        <v>breakfast_track</v>
      </c>
      <c r="G19" s="93" t="s">
        <v>55</v>
      </c>
      <c r="H19" s="217">
        <f ca="1">0.000001*INDIRECT($B19&amp;"!AC6")</f>
        <v>6.6367449999999995</v>
      </c>
      <c r="I19" s="9"/>
      <c r="J19" s="218">
        <f ca="1">H19/D19-1</f>
        <v>-2.4765044651653412E-4</v>
      </c>
      <c r="L19" s="65">
        <f ca="1">INDIRECT($B19&amp;"!"&amp;L$3&amp;"6")</f>
        <v>32.824559999999998</v>
      </c>
      <c r="M19" s="66">
        <f ca="1">INDIRECT($B19&amp;"!"&amp;M$3&amp;"6")</f>
        <v>32.824565020000001</v>
      </c>
      <c r="N19" s="67">
        <f ca="1">M19-L19</f>
        <v>5.0200000032418757E-6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6"/>
    </row>
    <row r="20" spans="2:28" x14ac:dyDescent="0.25">
      <c r="B20" s="86" t="str">
        <f>B19</f>
        <v>breakfast_track</v>
      </c>
      <c r="C20" s="93" t="s">
        <v>56</v>
      </c>
      <c r="D20" s="217">
        <f ca="1">0.000001*INDIRECT($B20&amp;"!E7")</f>
        <v>9.5796299999999999</v>
      </c>
      <c r="E20" s="216"/>
      <c r="F20" s="86" t="str">
        <f>F19</f>
        <v>breakfast_track</v>
      </c>
      <c r="G20" s="93" t="s">
        <v>56</v>
      </c>
      <c r="H20" s="217">
        <f ca="1">0.000001*INDIRECT($B20&amp;"!AC7")</f>
        <v>9.5779859999999992</v>
      </c>
      <c r="I20" s="9"/>
      <c r="J20" s="218">
        <f ca="1">H20/D20-1</f>
        <v>-1.7161414376132278E-4</v>
      </c>
      <c r="L20" s="65">
        <f ca="1">INDIRECT($B20&amp;"!"&amp;L$3&amp;"7")</f>
        <v>38.282213333333331</v>
      </c>
      <c r="M20" s="66">
        <f ca="1">INDIRECT($B20&amp;"!"&amp;M$3&amp;"7")</f>
        <v>38.282210599999999</v>
      </c>
      <c r="N20" s="67">
        <f ca="1">M20-L20</f>
        <v>-2.733333332116672E-6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6"/>
    </row>
    <row r="21" spans="2:28" x14ac:dyDescent="0.25">
      <c r="B21" s="86" t="str">
        <f>B20</f>
        <v>breakfast_track</v>
      </c>
      <c r="C21" s="93" t="s">
        <v>57</v>
      </c>
      <c r="D21" s="217">
        <f ca="1">0.000001*INDIRECT($B21&amp;"!E8")</f>
        <v>13.510923999999999</v>
      </c>
      <c r="E21" s="216"/>
      <c r="F21" s="86" t="str">
        <f>F20</f>
        <v>breakfast_track</v>
      </c>
      <c r="G21" s="93" t="s">
        <v>57</v>
      </c>
      <c r="H21" s="217">
        <f ca="1">0.000001*INDIRECT($B21&amp;"!AC8")</f>
        <v>13.509279999999999</v>
      </c>
      <c r="I21" s="9"/>
      <c r="J21" s="218">
        <f ca="1">H21/D21-1</f>
        <v>-1.2167931667739218E-4</v>
      </c>
      <c r="L21" s="65">
        <f ca="1">INDIRECT($B21&amp;"!"&amp;L$3&amp;"8")</f>
        <v>41.441673333333327</v>
      </c>
      <c r="M21" s="66">
        <f ca="1">INDIRECT($B21&amp;"!"&amp;M$3&amp;"8")</f>
        <v>41.441682839999999</v>
      </c>
      <c r="N21" s="67">
        <f ca="1">M21-L21</f>
        <v>9.5066666716547843E-6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6"/>
    </row>
    <row r="22" spans="2:28" ht="16.5" customHeight="1" thickBot="1" x14ac:dyDescent="0.3">
      <c r="B22" s="86" t="str">
        <f>B21</f>
        <v>breakfast_track</v>
      </c>
      <c r="C22" s="93" t="s">
        <v>58</v>
      </c>
      <c r="D22" s="217">
        <f ca="1">0.000001*INDIRECT($B22&amp;"!E9")</f>
        <v>17.324469999999998</v>
      </c>
      <c r="E22" s="216"/>
      <c r="F22" s="86" t="str">
        <f>F21</f>
        <v>breakfast_track</v>
      </c>
      <c r="G22" s="93" t="s">
        <v>58</v>
      </c>
      <c r="H22" s="217">
        <f ca="1">0.000001*INDIRECT($B22&amp;"!AC9")</f>
        <v>17.322825999999999</v>
      </c>
      <c r="I22" s="9"/>
      <c r="J22" s="218">
        <f ca="1">H22/D22-1</f>
        <v>-9.4894677874601818E-5</v>
      </c>
      <c r="L22" s="65">
        <f ca="1">INDIRECT($B22&amp;"!"&amp;L$3&amp;"9")</f>
        <v>42.221853333333343</v>
      </c>
      <c r="M22" s="66">
        <f ca="1">INDIRECT($B22&amp;"!"&amp;M$3&amp;"9")</f>
        <v>42.221851389999998</v>
      </c>
      <c r="N22" s="67">
        <f ca="1">M22-L22</f>
        <v>-1.9433333449114798E-6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6"/>
      <c r="AB22" s="220"/>
    </row>
    <row r="23" spans="2:28" ht="16.5" customHeight="1" x14ac:dyDescent="0.25">
      <c r="B23" s="80"/>
      <c r="C23" s="81"/>
      <c r="D23" s="222"/>
      <c r="F23" s="80"/>
      <c r="G23" s="81"/>
      <c r="H23" s="222"/>
      <c r="J23" s="69">
        <f ca="1">MIN(D18:D22,H18:H22)</f>
        <v>4.6105029999999996</v>
      </c>
      <c r="L23" s="70"/>
      <c r="M23" s="71"/>
      <c r="N23" s="72"/>
      <c r="O23" s="216"/>
      <c r="P23" s="205"/>
      <c r="Q23" s="216"/>
      <c r="R23" s="9"/>
      <c r="S23" s="9"/>
      <c r="T23" s="9"/>
      <c r="U23" s="9"/>
      <c r="V23" s="57"/>
      <c r="X23" s="6"/>
      <c r="Y23" s="6"/>
      <c r="Z23" s="56"/>
    </row>
    <row r="24" spans="2:28" ht="16.5" customHeight="1" thickBot="1" x14ac:dyDescent="0.3">
      <c r="B24" s="62"/>
      <c r="C24" s="63"/>
      <c r="D24" s="223"/>
      <c r="E24" s="216"/>
      <c r="F24" s="62"/>
      <c r="G24" s="63"/>
      <c r="H24" s="223"/>
      <c r="I24" s="9"/>
      <c r="J24" s="73">
        <f ca="1">MAX(D18:D22,H18:H22)</f>
        <v>17.324469999999998</v>
      </c>
      <c r="L24" s="74">
        <f>L23</f>
        <v>0</v>
      </c>
      <c r="M24" s="75">
        <f>M23</f>
        <v>0</v>
      </c>
      <c r="N24" s="68"/>
      <c r="O24" s="216"/>
      <c r="P24" s="5"/>
      <c r="Q24" s="216"/>
      <c r="R24" s="9"/>
      <c r="S24" s="9"/>
      <c r="T24" s="9"/>
      <c r="U24" s="9"/>
      <c r="V24" s="57"/>
      <c r="X24" s="58"/>
      <c r="Y24" s="58"/>
      <c r="Z24" s="56"/>
    </row>
    <row r="25" spans="2:28" ht="16.5" customHeight="1" thickBot="1" x14ac:dyDescent="0.3"/>
    <row r="26" spans="2:28" x14ac:dyDescent="0.25">
      <c r="B26" s="265" t="s">
        <v>21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205"/>
      <c r="L26" s="259" t="str">
        <f>F26</f>
        <v>cinema_track</v>
      </c>
      <c r="M26" s="260"/>
      <c r="N26" s="261"/>
      <c r="O26" s="149"/>
      <c r="P26" s="205"/>
      <c r="U26" s="206"/>
      <c r="V26" s="206"/>
      <c r="X26" s="266"/>
      <c r="Y26" s="257"/>
      <c r="Z26" s="257"/>
    </row>
    <row r="27" spans="2:28" x14ac:dyDescent="0.25">
      <c r="B27" s="262" t="s">
        <v>47</v>
      </c>
      <c r="C27" s="257"/>
      <c r="D27" s="61" t="s">
        <v>48</v>
      </c>
      <c r="E27" s="216"/>
      <c r="F27" s="262" t="s">
        <v>47</v>
      </c>
      <c r="G27" s="257"/>
      <c r="H27" s="61" t="s">
        <v>48</v>
      </c>
      <c r="I27" s="9"/>
      <c r="J27" s="203" t="s">
        <v>49</v>
      </c>
      <c r="L27" s="256" t="s">
        <v>61</v>
      </c>
      <c r="M27" s="257"/>
      <c r="N27" s="258"/>
      <c r="O27" s="59"/>
      <c r="P27" s="3"/>
      <c r="R27" s="263"/>
      <c r="S27" s="257"/>
      <c r="T27" s="257"/>
      <c r="U27" s="201"/>
      <c r="V27" s="201"/>
      <c r="X27" s="263"/>
      <c r="Y27" s="257"/>
      <c r="Z27" s="257"/>
    </row>
    <row r="28" spans="2:28" x14ac:dyDescent="0.25">
      <c r="B28" s="145" t="s">
        <v>0</v>
      </c>
      <c r="C28" s="93" t="s">
        <v>51</v>
      </c>
      <c r="D28" s="60" t="s">
        <v>52</v>
      </c>
      <c r="E28" s="216"/>
      <c r="F28" s="145" t="s">
        <v>0</v>
      </c>
      <c r="G28" s="93" t="s">
        <v>51</v>
      </c>
      <c r="H28" s="60" t="s">
        <v>52</v>
      </c>
      <c r="I28" s="9"/>
      <c r="J28" s="64"/>
      <c r="L28" s="146" t="str">
        <f>CONCATENATE(B$2," ",L26)</f>
        <v>MPEG151-octree cinema_track</v>
      </c>
      <c r="M28" s="147" t="str">
        <f>CONCATENATE(F$2," ",L26)</f>
        <v>MPEG151-修改上下文 cinema_track</v>
      </c>
      <c r="N28" s="148" t="s">
        <v>53</v>
      </c>
      <c r="O28" s="2"/>
      <c r="P28" s="3" t="s">
        <v>44</v>
      </c>
      <c r="Q28" s="2"/>
      <c r="R28" s="2"/>
      <c r="S28" s="2"/>
      <c r="T28" s="2"/>
      <c r="U28" s="2"/>
      <c r="V28" s="2"/>
      <c r="X28" s="149"/>
      <c r="Y28" s="149"/>
      <c r="Z28" s="149"/>
    </row>
    <row r="29" spans="2:28" x14ac:dyDescent="0.25">
      <c r="B29" s="86" t="str">
        <f>B26</f>
        <v>cinema_track</v>
      </c>
      <c r="C29" s="93" t="s">
        <v>54</v>
      </c>
      <c r="D29" s="217">
        <f ca="1">0.000001*INDIRECT($B29&amp;"!E5")</f>
        <v>3.4193579999999999</v>
      </c>
      <c r="E29" s="216"/>
      <c r="F29" s="86" t="str">
        <f>F26</f>
        <v>cinema_track</v>
      </c>
      <c r="G29" s="93" t="s">
        <v>54</v>
      </c>
      <c r="H29" s="217">
        <f ca="1">0.000001*INDIRECT($B29&amp;"!AC5")</f>
        <v>3.4174319999999998</v>
      </c>
      <c r="I29" s="9"/>
      <c r="J29" s="218">
        <f ca="1">H29/D29-1</f>
        <v>-5.6326363019021386E-4</v>
      </c>
      <c r="L29" s="65">
        <f ca="1">INDIRECT($B29&amp;"!"&amp;L$3&amp;"5")</f>
        <v>31.65254761904762</v>
      </c>
      <c r="M29" s="66">
        <f ca="1">INDIRECT($B29&amp;"!"&amp;M$3&amp;"5")</f>
        <v>31.65254448</v>
      </c>
      <c r="N29" s="67">
        <f ca="1">M29-L29</f>
        <v>-3.1390476209480767E-6</v>
      </c>
      <c r="O29" s="216"/>
      <c r="P29" s="218">
        <f ca="1">bdRateExtend(D29:D33,L29:L33,H29:H33,M29:M33)</f>
        <v>-3.2209031653407383E-4</v>
      </c>
      <c r="Q29" s="216"/>
      <c r="R29" s="9"/>
      <c r="S29" s="9"/>
      <c r="T29" s="9"/>
      <c r="U29" s="9"/>
      <c r="V29" s="219"/>
      <c r="X29" s="6"/>
      <c r="Y29" s="6"/>
      <c r="Z29" s="56"/>
      <c r="AB29" s="220"/>
    </row>
    <row r="30" spans="2:28" x14ac:dyDescent="0.25">
      <c r="B30" s="86" t="str">
        <f>B29</f>
        <v>cinema_track</v>
      </c>
      <c r="C30" s="93" t="s">
        <v>55</v>
      </c>
      <c r="D30" s="217">
        <f ca="1">0.000001*INDIRECT($B30&amp;"!E6")</f>
        <v>4.9536699999999998</v>
      </c>
      <c r="E30" s="216"/>
      <c r="F30" s="86" t="str">
        <f>F29</f>
        <v>cinema_track</v>
      </c>
      <c r="G30" s="93" t="s">
        <v>55</v>
      </c>
      <c r="H30" s="217">
        <f ca="1">0.000001*INDIRECT($B30&amp;"!AC6")</f>
        <v>4.9517439999999997</v>
      </c>
      <c r="I30" s="9"/>
      <c r="J30" s="218">
        <f ca="1">H30/D30-1</f>
        <v>-3.8880264531149233E-4</v>
      </c>
      <c r="L30" s="65">
        <f ca="1">INDIRECT($B30&amp;"!"&amp;L$3&amp;"6")</f>
        <v>35.305909523809518</v>
      </c>
      <c r="M30" s="66">
        <f ca="1">INDIRECT($B30&amp;"!"&amp;M$3&amp;"6")</f>
        <v>35.30590557</v>
      </c>
      <c r="N30" s="67">
        <f ca="1">M30-L30</f>
        <v>-3.9538095180091659E-6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6"/>
    </row>
    <row r="31" spans="2:28" x14ac:dyDescent="0.25">
      <c r="B31" s="86" t="str">
        <f>B30</f>
        <v>cinema_track</v>
      </c>
      <c r="C31" s="93" t="s">
        <v>56</v>
      </c>
      <c r="D31" s="217">
        <f ca="1">0.000001*INDIRECT($B31&amp;"!E7")</f>
        <v>7.4311939999999996</v>
      </c>
      <c r="E31" s="216"/>
      <c r="F31" s="86" t="str">
        <f>F30</f>
        <v>cinema_track</v>
      </c>
      <c r="G31" s="93" t="s">
        <v>56</v>
      </c>
      <c r="H31" s="217">
        <f ca="1">0.000001*INDIRECT($B31&amp;"!AC7")</f>
        <v>7.4292679999999995</v>
      </c>
      <c r="I31" s="9"/>
      <c r="J31" s="218">
        <f ca="1">H31/D31-1</f>
        <v>-2.59177731061766E-4</v>
      </c>
      <c r="L31" s="65">
        <f ca="1">INDIRECT($B31&amp;"!"&amp;L$3&amp;"7")</f>
        <v>39.796204761904761</v>
      </c>
      <c r="M31" s="66">
        <f ca="1">INDIRECT($B31&amp;"!"&amp;M$3&amp;"7")</f>
        <v>39.796196100000003</v>
      </c>
      <c r="N31" s="67">
        <f ca="1">M31-L31</f>
        <v>-8.6619047579006292E-6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6"/>
    </row>
    <row r="32" spans="2:28" x14ac:dyDescent="0.25">
      <c r="B32" s="86" t="str">
        <f>B31</f>
        <v>cinema_track</v>
      </c>
      <c r="C32" s="93" t="s">
        <v>57</v>
      </c>
      <c r="D32" s="217">
        <f ca="1">0.000001*INDIRECT($B32&amp;"!E8")</f>
        <v>10.795601999999999</v>
      </c>
      <c r="E32" s="216"/>
      <c r="F32" s="86" t="str">
        <f>F31</f>
        <v>cinema_track</v>
      </c>
      <c r="G32" s="93" t="s">
        <v>57</v>
      </c>
      <c r="H32" s="217">
        <f ca="1">0.000001*INDIRECT($B32&amp;"!AC8")</f>
        <v>10.793676</v>
      </c>
      <c r="I32" s="9"/>
      <c r="J32" s="218">
        <f ca="1">H32/D32-1</f>
        <v>-1.7840598421459131E-4</v>
      </c>
      <c r="L32" s="65">
        <f ca="1">INDIRECT($B32&amp;"!"&amp;L$3&amp;"8")</f>
        <v>43.268876190476192</v>
      </c>
      <c r="M32" s="66">
        <f ca="1">INDIRECT($B32&amp;"!"&amp;M$3&amp;"8")</f>
        <v>43.268869199999997</v>
      </c>
      <c r="N32" s="67">
        <f ca="1">M32-L32</f>
        <v>-6.990476194346229E-6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6"/>
    </row>
    <row r="33" spans="2:28" ht="16.5" customHeight="1" thickBot="1" x14ac:dyDescent="0.3">
      <c r="B33" s="86" t="str">
        <f>B32</f>
        <v>cinema_track</v>
      </c>
      <c r="C33" s="93" t="s">
        <v>58</v>
      </c>
      <c r="D33" s="217">
        <f ca="1">0.000001*INDIRECT($B33&amp;"!E9")</f>
        <v>13.983369</v>
      </c>
      <c r="E33" s="216"/>
      <c r="F33" s="86" t="str">
        <f>F32</f>
        <v>cinema_track</v>
      </c>
      <c r="G33" s="93" t="s">
        <v>58</v>
      </c>
      <c r="H33" s="217">
        <f ca="1">0.000001*INDIRECT($B33&amp;"!AC9")</f>
        <v>13.981442999999999</v>
      </c>
      <c r="I33" s="9"/>
      <c r="J33" s="218">
        <f ca="1">H33/D33-1</f>
        <v>-1.377350479703221E-4</v>
      </c>
      <c r="L33" s="65">
        <f ca="1">INDIRECT($B33&amp;"!"&amp;L$3&amp;"9")</f>
        <v>44.310923809523807</v>
      </c>
      <c r="M33" s="66">
        <f ca="1">INDIRECT($B33&amp;"!"&amp;M$3&amp;"9")</f>
        <v>44.310927599999999</v>
      </c>
      <c r="N33" s="67">
        <f ca="1">M33-L33</f>
        <v>3.7904761924778541E-6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6"/>
      <c r="AB33" s="220"/>
    </row>
    <row r="34" spans="2:28" ht="16.5" customHeight="1" x14ac:dyDescent="0.25">
      <c r="B34" s="80"/>
      <c r="C34" s="81"/>
      <c r="D34" s="222"/>
      <c r="F34" s="80"/>
      <c r="G34" s="81"/>
      <c r="H34" s="222"/>
      <c r="J34" s="69">
        <f ca="1">MIN(D29:D33,H29:H33)</f>
        <v>3.4174319999999998</v>
      </c>
      <c r="L34" s="70"/>
      <c r="M34" s="71"/>
      <c r="N34" s="72"/>
      <c r="O34" s="216"/>
      <c r="P34" s="205"/>
      <c r="Q34" s="216"/>
      <c r="R34" s="9"/>
      <c r="S34" s="9"/>
      <c r="T34" s="9"/>
      <c r="U34" s="9"/>
      <c r="V34" s="57"/>
      <c r="X34" s="6"/>
      <c r="Y34" s="6"/>
      <c r="Z34" s="56"/>
    </row>
    <row r="35" spans="2:28" ht="16.5" customHeight="1" thickBot="1" x14ac:dyDescent="0.3">
      <c r="B35" s="62"/>
      <c r="C35" s="63"/>
      <c r="D35" s="223"/>
      <c r="E35" s="216"/>
      <c r="F35" s="62"/>
      <c r="G35" s="63"/>
      <c r="H35" s="223"/>
      <c r="I35" s="9"/>
      <c r="J35" s="73">
        <f ca="1">MAX(D29:D33,H29:H33)</f>
        <v>13.983369</v>
      </c>
      <c r="L35" s="74">
        <f>L34</f>
        <v>0</v>
      </c>
      <c r="M35" s="75">
        <f>M34</f>
        <v>0</v>
      </c>
      <c r="N35" s="68"/>
      <c r="O35" s="216"/>
      <c r="P35" s="5"/>
      <c r="Q35" s="216"/>
      <c r="R35" s="9"/>
      <c r="S35" s="9"/>
      <c r="T35" s="9"/>
      <c r="U35" s="9"/>
      <c r="V35" s="57"/>
      <c r="X35" s="58"/>
      <c r="Y35" s="58"/>
      <c r="Z35" s="56"/>
    </row>
    <row r="36" spans="2:28" ht="16.5" customHeight="1" thickBot="1" x14ac:dyDescent="0.3"/>
    <row r="37" spans="2:28" x14ac:dyDescent="0.25">
      <c r="B37" s="265" t="s">
        <v>24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205"/>
      <c r="L37" s="259" t="str">
        <f>F37</f>
        <v>ManWithFruit</v>
      </c>
      <c r="M37" s="260"/>
      <c r="N37" s="261"/>
      <c r="O37" s="149"/>
      <c r="P37" s="205"/>
      <c r="U37" s="206"/>
      <c r="V37" s="206"/>
      <c r="X37" s="266"/>
      <c r="Y37" s="257"/>
      <c r="Z37" s="257"/>
    </row>
    <row r="38" spans="2:28" x14ac:dyDescent="0.25">
      <c r="B38" s="262" t="s">
        <v>47</v>
      </c>
      <c r="C38" s="257"/>
      <c r="D38" s="61" t="s">
        <v>48</v>
      </c>
      <c r="E38" s="216"/>
      <c r="F38" s="262" t="s">
        <v>47</v>
      </c>
      <c r="G38" s="257"/>
      <c r="H38" s="61" t="s">
        <v>48</v>
      </c>
      <c r="I38" s="9"/>
      <c r="J38" s="203" t="s">
        <v>49</v>
      </c>
      <c r="L38" s="256" t="s">
        <v>61</v>
      </c>
      <c r="M38" s="257"/>
      <c r="N38" s="258"/>
      <c r="O38" s="59"/>
      <c r="P38" s="3"/>
      <c r="R38" s="263"/>
      <c r="S38" s="257"/>
      <c r="T38" s="257"/>
      <c r="U38" s="201"/>
      <c r="V38" s="201"/>
      <c r="X38" s="263"/>
      <c r="Y38" s="257"/>
      <c r="Z38" s="257"/>
    </row>
    <row r="39" spans="2:28" x14ac:dyDescent="0.25">
      <c r="B39" s="145" t="s">
        <v>0</v>
      </c>
      <c r="C39" s="93" t="s">
        <v>51</v>
      </c>
      <c r="D39" s="60" t="s">
        <v>52</v>
      </c>
      <c r="E39" s="216"/>
      <c r="F39" s="145" t="s">
        <v>0</v>
      </c>
      <c r="G39" s="93" t="s">
        <v>51</v>
      </c>
      <c r="H39" s="60" t="s">
        <v>52</v>
      </c>
      <c r="I39" s="9"/>
      <c r="J39" s="64"/>
      <c r="L39" s="146" t="str">
        <f>CONCATENATE(B$2," ",L37)</f>
        <v>MPEG151-octree ManWithFruit</v>
      </c>
      <c r="M39" s="147" t="str">
        <f>CONCATENATE(F$2," ",L37)</f>
        <v>MPEG151-修改上下文 ManWithFruit</v>
      </c>
      <c r="N39" s="148" t="s">
        <v>53</v>
      </c>
      <c r="O39" s="2"/>
      <c r="P39" s="3" t="s">
        <v>44</v>
      </c>
      <c r="Q39" s="2"/>
      <c r="R39" s="2"/>
      <c r="S39" s="2"/>
      <c r="T39" s="2"/>
      <c r="U39" s="2"/>
      <c r="V39" s="2"/>
      <c r="X39" s="149"/>
      <c r="Y39" s="149"/>
      <c r="Z39" s="149"/>
    </row>
    <row r="40" spans="2:28" x14ac:dyDescent="0.25">
      <c r="B40" s="86" t="str">
        <f>B37</f>
        <v>ManWithFruit</v>
      </c>
      <c r="C40" s="93" t="s">
        <v>54</v>
      </c>
      <c r="D40" s="217">
        <f ca="1">0.000001*INDIRECT($B40&amp;"!E5")</f>
        <v>0.356817</v>
      </c>
      <c r="E40" s="216"/>
      <c r="F40" s="86" t="str">
        <f>F37</f>
        <v>ManWithFruit</v>
      </c>
      <c r="G40" s="93" t="s">
        <v>54</v>
      </c>
      <c r="H40" s="217">
        <f ca="1">0.000001*INDIRECT($B40&amp;"!AC5")</f>
        <v>0.35676799999999997</v>
      </c>
      <c r="I40" s="9"/>
      <c r="J40" s="218">
        <f ca="1">H40/D40-1</f>
        <v>-1.3732529559973283E-4</v>
      </c>
      <c r="L40" s="65">
        <f ca="1">INDIRECT($B40&amp;"!"&amp;L$3&amp;"5")</f>
        <v>44.741458333333327</v>
      </c>
      <c r="M40" s="66">
        <f ca="1">INDIRECT($B40&amp;"!"&amp;M$3&amp;"5")</f>
        <v>44.741451920000003</v>
      </c>
      <c r="N40" s="67">
        <f ca="1">M40-L40</f>
        <v>-6.4133333239624335E-6</v>
      </c>
      <c r="O40" s="216"/>
      <c r="P40" s="218">
        <f ca="1">bdRateExtend(D40:D44,L40:L44,H40:H44,M40:M44)</f>
        <v>-9.7526172468165306E-5</v>
      </c>
      <c r="Q40" s="216"/>
      <c r="R40" s="9"/>
      <c r="S40" s="9"/>
      <c r="T40" s="9"/>
      <c r="U40" s="9"/>
      <c r="V40" s="219"/>
      <c r="X40" s="6"/>
      <c r="Y40" s="6"/>
      <c r="Z40" s="56"/>
      <c r="AB40" s="220"/>
    </row>
    <row r="41" spans="2:28" x14ac:dyDescent="0.25">
      <c r="B41" s="86" t="str">
        <f>B40</f>
        <v>ManWithFruit</v>
      </c>
      <c r="C41" s="93" t="s">
        <v>55</v>
      </c>
      <c r="D41" s="217">
        <f ca="1">0.000001*INDIRECT($B41&amp;"!E6")</f>
        <v>0.45023299999999999</v>
      </c>
      <c r="E41" s="216"/>
      <c r="F41" s="86" t="str">
        <f>F40</f>
        <v>ManWithFruit</v>
      </c>
      <c r="G41" s="93" t="s">
        <v>55</v>
      </c>
      <c r="H41" s="217">
        <f ca="1">0.000001*INDIRECT($B41&amp;"!AC6")</f>
        <v>0.45018399999999997</v>
      </c>
      <c r="I41" s="9"/>
      <c r="J41" s="218">
        <f ca="1">H41/D41-1</f>
        <v>-1.0883253781934776E-4</v>
      </c>
      <c r="L41" s="65">
        <f ca="1">INDIRECT($B41&amp;"!"&amp;L$3&amp;"6")</f>
        <v>47.560316666666672</v>
      </c>
      <c r="M41" s="66">
        <f ca="1">INDIRECT($B41&amp;"!"&amp;M$3&amp;"6")</f>
        <v>47.5603093</v>
      </c>
      <c r="N41" s="67">
        <f ca="1">M41-L41</f>
        <v>-7.3666666722260743E-6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6"/>
    </row>
    <row r="42" spans="2:28" x14ac:dyDescent="0.25">
      <c r="B42" s="86" t="str">
        <f>B41</f>
        <v>ManWithFruit</v>
      </c>
      <c r="C42" s="93" t="s">
        <v>56</v>
      </c>
      <c r="D42" s="217">
        <f ca="1">0.000001*INDIRECT($B42&amp;"!E7")</f>
        <v>0.573882</v>
      </c>
      <c r="E42" s="216"/>
      <c r="F42" s="86" t="str">
        <f>F41</f>
        <v>ManWithFruit</v>
      </c>
      <c r="G42" s="93" t="s">
        <v>56</v>
      </c>
      <c r="H42" s="217">
        <f ca="1">0.000001*INDIRECT($B42&amp;"!AC7")</f>
        <v>0.57383299999999993</v>
      </c>
      <c r="I42" s="9"/>
      <c r="J42" s="218">
        <f ca="1">H42/D42-1</f>
        <v>-8.5383406345007629E-5</v>
      </c>
      <c r="L42" s="65">
        <f ca="1">INDIRECT($B42&amp;"!"&amp;L$3&amp;"7")</f>
        <v>48.921995833333327</v>
      </c>
      <c r="M42" s="66">
        <f ca="1">INDIRECT($B42&amp;"!"&amp;M$3&amp;"7")</f>
        <v>48.921989179999997</v>
      </c>
      <c r="N42" s="67">
        <f ca="1">M42-L42</f>
        <v>-6.6533333296092678E-6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6"/>
    </row>
    <row r="43" spans="2:28" x14ac:dyDescent="0.25">
      <c r="B43" s="86" t="str">
        <f>B42</f>
        <v>ManWithFruit</v>
      </c>
      <c r="C43" s="93" t="s">
        <v>57</v>
      </c>
      <c r="D43" s="217">
        <f ca="1">0.000001*INDIRECT($B43&amp;"!E8")</f>
        <v>0.79003299999999999</v>
      </c>
      <c r="E43" s="216"/>
      <c r="F43" s="86" t="str">
        <f>F42</f>
        <v>ManWithFruit</v>
      </c>
      <c r="G43" s="93" t="s">
        <v>57</v>
      </c>
      <c r="H43" s="217">
        <f ca="1">0.000001*INDIRECT($B43&amp;"!AC8")</f>
        <v>0.78998400000000002</v>
      </c>
      <c r="I43" s="9"/>
      <c r="J43" s="218">
        <f ca="1">H43/D43-1</f>
        <v>-6.2022725632937536E-5</v>
      </c>
      <c r="L43" s="65">
        <f ca="1">INDIRECT($B43&amp;"!"&amp;L$3&amp;"8")</f>
        <v>50.602104166666663</v>
      </c>
      <c r="M43" s="66">
        <f ca="1">INDIRECT($B43&amp;"!"&amp;M$3&amp;"8")</f>
        <v>50.602116420000002</v>
      </c>
      <c r="N43" s="67">
        <f ca="1">M43-L43</f>
        <v>1.2253333338207995E-5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6"/>
    </row>
    <row r="44" spans="2:28" ht="16.5" customHeight="1" thickBot="1" x14ac:dyDescent="0.3">
      <c r="B44" s="86" t="str">
        <f>B43</f>
        <v>ManWithFruit</v>
      </c>
      <c r="C44" s="93" t="s">
        <v>58</v>
      </c>
      <c r="D44" s="217">
        <f ca="1">0.000001*INDIRECT($B44&amp;"!E9")</f>
        <v>1.0632569999999999</v>
      </c>
      <c r="E44" s="216"/>
      <c r="F44" s="86" t="str">
        <f>F43</f>
        <v>ManWithFruit</v>
      </c>
      <c r="G44" s="93" t="s">
        <v>58</v>
      </c>
      <c r="H44" s="217">
        <f ca="1">0.000001*INDIRECT($B44&amp;"!AC9")</f>
        <v>1.0632079999999999</v>
      </c>
      <c r="I44" s="9"/>
      <c r="J44" s="218">
        <f ca="1">H44/D44-1</f>
        <v>-4.6084812984958923E-5</v>
      </c>
      <c r="L44" s="65">
        <f ca="1">INDIRECT($B44&amp;"!"&amp;L$3&amp;"9")</f>
        <v>51.444966666666687</v>
      </c>
      <c r="M44" s="66">
        <f ca="1">INDIRECT($B44&amp;"!"&amp;M$3&amp;"9")</f>
        <v>51.444959570000002</v>
      </c>
      <c r="N44" s="67">
        <f ca="1">M44-L44</f>
        <v>-7.0966666854133109E-6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6"/>
      <c r="AB44" s="220"/>
    </row>
    <row r="45" spans="2:28" ht="16.5" customHeight="1" x14ac:dyDescent="0.25">
      <c r="B45" s="80"/>
      <c r="C45" s="81"/>
      <c r="D45" s="222"/>
      <c r="F45" s="80"/>
      <c r="G45" s="81"/>
      <c r="H45" s="222"/>
      <c r="J45" s="69">
        <f ca="1">MIN(D40:D44,H40:H44)</f>
        <v>0.35676799999999997</v>
      </c>
      <c r="L45" s="70"/>
      <c r="M45" s="71"/>
      <c r="N45" s="72"/>
      <c r="O45" s="216"/>
      <c r="P45" s="205"/>
      <c r="Q45" s="216"/>
      <c r="R45" s="9"/>
      <c r="S45" s="9"/>
      <c r="T45" s="9"/>
      <c r="U45" s="9"/>
      <c r="V45" s="57"/>
      <c r="X45" s="6"/>
      <c r="Y45" s="6"/>
      <c r="Z45" s="56"/>
    </row>
    <row r="46" spans="2:28" ht="16.5" customHeight="1" thickBot="1" x14ac:dyDescent="0.3">
      <c r="B46" s="62"/>
      <c r="C46" s="63"/>
      <c r="D46" s="223"/>
      <c r="E46" s="216"/>
      <c r="F46" s="62"/>
      <c r="G46" s="63"/>
      <c r="H46" s="223"/>
      <c r="I46" s="9"/>
      <c r="J46" s="73">
        <f ca="1">MAX(D40:D44,H40:H44)</f>
        <v>1.0632569999999999</v>
      </c>
      <c r="L46" s="74">
        <f>L45</f>
        <v>0</v>
      </c>
      <c r="M46" s="75">
        <f>M45</f>
        <v>0</v>
      </c>
      <c r="N46" s="68"/>
      <c r="O46" s="216"/>
      <c r="P46" s="5"/>
      <c r="Q46" s="216"/>
      <c r="R46" s="9"/>
      <c r="S46" s="9"/>
      <c r="T46" s="9"/>
      <c r="U46" s="9"/>
      <c r="V46" s="57"/>
      <c r="X46" s="58"/>
      <c r="Y46" s="58"/>
      <c r="Z46" s="56"/>
    </row>
    <row r="47" spans="2:28" ht="16.5" customHeight="1" thickBot="1" x14ac:dyDescent="0.3"/>
    <row r="48" spans="2:28" x14ac:dyDescent="0.25">
      <c r="B48" s="265" t="s">
        <v>25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205"/>
      <c r="L48" s="259" t="str">
        <f>F48</f>
        <v>LEGO_Ferrari</v>
      </c>
      <c r="M48" s="260"/>
      <c r="N48" s="261"/>
      <c r="O48" s="149"/>
      <c r="P48" s="205"/>
      <c r="U48" s="206"/>
      <c r="V48" s="206"/>
      <c r="X48" s="266"/>
      <c r="Y48" s="257"/>
      <c r="Z48" s="257"/>
    </row>
    <row r="49" spans="2:28" x14ac:dyDescent="0.25">
      <c r="B49" s="262" t="s">
        <v>47</v>
      </c>
      <c r="C49" s="257"/>
      <c r="D49" s="61" t="s">
        <v>48</v>
      </c>
      <c r="E49" s="216"/>
      <c r="F49" s="262" t="s">
        <v>47</v>
      </c>
      <c r="G49" s="257"/>
      <c r="H49" s="61" t="s">
        <v>48</v>
      </c>
      <c r="I49" s="9"/>
      <c r="J49" s="203" t="s">
        <v>49</v>
      </c>
      <c r="L49" s="256" t="s">
        <v>61</v>
      </c>
      <c r="M49" s="257"/>
      <c r="N49" s="258"/>
      <c r="O49" s="59"/>
      <c r="P49" s="3"/>
      <c r="R49" s="263"/>
      <c r="S49" s="257"/>
      <c r="T49" s="257"/>
      <c r="U49" s="201"/>
      <c r="V49" s="201"/>
      <c r="X49" s="263"/>
      <c r="Y49" s="257"/>
      <c r="Z49" s="257"/>
    </row>
    <row r="50" spans="2:28" x14ac:dyDescent="0.25">
      <c r="B50" s="145" t="s">
        <v>0</v>
      </c>
      <c r="C50" s="93" t="s">
        <v>51</v>
      </c>
      <c r="D50" s="60" t="s">
        <v>52</v>
      </c>
      <c r="E50" s="216"/>
      <c r="F50" s="145" t="s">
        <v>0</v>
      </c>
      <c r="G50" s="93" t="s">
        <v>51</v>
      </c>
      <c r="H50" s="60" t="s">
        <v>52</v>
      </c>
      <c r="I50" s="9"/>
      <c r="J50" s="64"/>
      <c r="L50" s="146" t="str">
        <f>CONCATENATE(B$2," ",L48)</f>
        <v>MPEG151-octree LEGO_Ferrari</v>
      </c>
      <c r="M50" s="147" t="str">
        <f>CONCATENATE(F$2," ",L48)</f>
        <v>MPEG151-修改上下文 LEGO_Ferrari</v>
      </c>
      <c r="N50" s="148" t="s">
        <v>53</v>
      </c>
      <c r="O50" s="2"/>
      <c r="P50" s="3" t="s">
        <v>44</v>
      </c>
      <c r="Q50" s="2"/>
      <c r="R50" s="2"/>
      <c r="S50" s="2"/>
      <c r="T50" s="2"/>
      <c r="U50" s="2"/>
      <c r="V50" s="2"/>
      <c r="X50" s="149"/>
      <c r="Y50" s="149"/>
      <c r="Z50" s="149"/>
    </row>
    <row r="51" spans="2:28" x14ac:dyDescent="0.25">
      <c r="B51" s="86" t="str">
        <f>B48</f>
        <v>LEGO_Ferrari</v>
      </c>
      <c r="C51" s="93" t="s">
        <v>54</v>
      </c>
      <c r="D51" s="217" t="e">
        <f ca="1">0.000001*INDIRECT($B51&amp;"!E5")</f>
        <v>#VALUE!</v>
      </c>
      <c r="E51" s="216"/>
      <c r="F51" s="86" t="str">
        <f>F48</f>
        <v>LEGO_Ferrari</v>
      </c>
      <c r="G51" s="93" t="s">
        <v>54</v>
      </c>
      <c r="H51" s="217" t="e">
        <f ca="1">0.000001*INDIRECT($B51&amp;"!AC5")</f>
        <v>#VALUE!</v>
      </c>
      <c r="I51" s="9"/>
      <c r="J51" s="218" t="e">
        <f ca="1">H51/D51-1</f>
        <v>#VALUE!</v>
      </c>
      <c r="L51" s="65" t="str">
        <f ca="1">INDIRECT($B51&amp;"!"&amp;L$3&amp;"5")</f>
        <v/>
      </c>
      <c r="M51" s="66" t="str">
        <f ca="1">INDIRECT($B51&amp;"!"&amp;M$3&amp;"5")</f>
        <v/>
      </c>
      <c r="N51" s="67" t="e">
        <f ca="1">M51-L51</f>
        <v>#VALUE!</v>
      </c>
      <c r="O51" s="216"/>
      <c r="P51" s="218" t="e">
        <f ca="1">bdRateExtend(D51:D55,L51:L55,H51:H55,M51:M55)</f>
        <v>#VALUE!</v>
      </c>
      <c r="Q51" s="216"/>
      <c r="R51" s="9"/>
      <c r="S51" s="9"/>
      <c r="T51" s="9"/>
      <c r="U51" s="9"/>
      <c r="V51" s="219"/>
      <c r="X51" s="6"/>
      <c r="Y51" s="6"/>
      <c r="Z51" s="56"/>
      <c r="AB51" s="220"/>
    </row>
    <row r="52" spans="2:28" x14ac:dyDescent="0.25">
      <c r="B52" s="86" t="str">
        <f>B51</f>
        <v>LEGO_Ferrari</v>
      </c>
      <c r="C52" s="93" t="s">
        <v>55</v>
      </c>
      <c r="D52" s="217" t="e">
        <f ca="1">0.000001*INDIRECT($B52&amp;"!E6")</f>
        <v>#VALUE!</v>
      </c>
      <c r="E52" s="216"/>
      <c r="F52" s="86" t="str">
        <f>F51</f>
        <v>LEGO_Ferrari</v>
      </c>
      <c r="G52" s="93" t="s">
        <v>55</v>
      </c>
      <c r="H52" s="217" t="e">
        <f ca="1">0.000001*INDIRECT($B52&amp;"!AC6")</f>
        <v>#VALUE!</v>
      </c>
      <c r="I52" s="9"/>
      <c r="J52" s="218" t="e">
        <f ca="1">H52/D52-1</f>
        <v>#VALUE!</v>
      </c>
      <c r="L52" s="65" t="str">
        <f ca="1">INDIRECT($B52&amp;"!"&amp;L$3&amp;"6")</f>
        <v/>
      </c>
      <c r="M52" s="66" t="str">
        <f ca="1">INDIRECT($B52&amp;"!"&amp;M$3&amp;"6")</f>
        <v/>
      </c>
      <c r="N52" s="67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6"/>
    </row>
    <row r="53" spans="2:28" x14ac:dyDescent="0.25">
      <c r="B53" s="86" t="str">
        <f>B52</f>
        <v>LEGO_Ferrari</v>
      </c>
      <c r="C53" s="93" t="s">
        <v>56</v>
      </c>
      <c r="D53" s="217" t="e">
        <f ca="1">0.000001*INDIRECT($B53&amp;"!E7")</f>
        <v>#VALUE!</v>
      </c>
      <c r="E53" s="216"/>
      <c r="F53" s="86" t="str">
        <f>F52</f>
        <v>LEGO_Ferrari</v>
      </c>
      <c r="G53" s="93" t="s">
        <v>56</v>
      </c>
      <c r="H53" s="217" t="e">
        <f ca="1">0.000001*INDIRECT($B53&amp;"!AC7")</f>
        <v>#VALUE!</v>
      </c>
      <c r="I53" s="9"/>
      <c r="J53" s="218" t="e">
        <f ca="1">H53/D53-1</f>
        <v>#VALUE!</v>
      </c>
      <c r="L53" s="65" t="str">
        <f ca="1">INDIRECT($B53&amp;"!"&amp;L$3&amp;"7")</f>
        <v/>
      </c>
      <c r="M53" s="66" t="str">
        <f ca="1">INDIRECT($B53&amp;"!"&amp;M$3&amp;"7")</f>
        <v/>
      </c>
      <c r="N53" s="67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6"/>
    </row>
    <row r="54" spans="2:28" x14ac:dyDescent="0.25">
      <c r="B54" s="86" t="str">
        <f>B53</f>
        <v>LEGO_Ferrari</v>
      </c>
      <c r="C54" s="93" t="s">
        <v>57</v>
      </c>
      <c r="D54" s="217" t="e">
        <f ca="1">0.000001*INDIRECT($B54&amp;"!E8")</f>
        <v>#VALUE!</v>
      </c>
      <c r="E54" s="216"/>
      <c r="F54" s="86" t="str">
        <f>F53</f>
        <v>LEGO_Ferrari</v>
      </c>
      <c r="G54" s="93" t="s">
        <v>57</v>
      </c>
      <c r="H54" s="217" t="e">
        <f ca="1">0.000001*INDIRECT($B54&amp;"!AC8")</f>
        <v>#VALUE!</v>
      </c>
      <c r="I54" s="9"/>
      <c r="J54" s="218" t="e">
        <f ca="1">H54/D54-1</f>
        <v>#VALUE!</v>
      </c>
      <c r="L54" s="65" t="str">
        <f ca="1">INDIRECT($B54&amp;"!"&amp;L$3&amp;"8")</f>
        <v/>
      </c>
      <c r="M54" s="66" t="str">
        <f ca="1">INDIRECT($B54&amp;"!"&amp;M$3&amp;"8")</f>
        <v/>
      </c>
      <c r="N54" s="67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6"/>
    </row>
    <row r="55" spans="2:28" ht="16.5" customHeight="1" thickBot="1" x14ac:dyDescent="0.3">
      <c r="B55" s="86" t="str">
        <f>B54</f>
        <v>LEGO_Ferrari</v>
      </c>
      <c r="C55" s="93" t="s">
        <v>58</v>
      </c>
      <c r="D55" s="217" t="e">
        <f ca="1">0.000001*INDIRECT($B55&amp;"!E9")</f>
        <v>#VALUE!</v>
      </c>
      <c r="E55" s="216"/>
      <c r="F55" s="86" t="str">
        <f>F54</f>
        <v>LEGO_Ferrari</v>
      </c>
      <c r="G55" s="93" t="s">
        <v>58</v>
      </c>
      <c r="H55" s="217" t="e">
        <f ca="1">0.000001*INDIRECT($B55&amp;"!AC9")</f>
        <v>#VALUE!</v>
      </c>
      <c r="I55" s="9"/>
      <c r="J55" s="218" t="e">
        <f ca="1">H55/D55-1</f>
        <v>#VALUE!</v>
      </c>
      <c r="L55" s="65" t="str">
        <f ca="1">INDIRECT($B55&amp;"!"&amp;L$3&amp;"9")</f>
        <v/>
      </c>
      <c r="M55" s="66" t="str">
        <f ca="1">INDIRECT($B55&amp;"!"&amp;M$3&amp;"9")</f>
        <v/>
      </c>
      <c r="N55" s="67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6"/>
      <c r="AB55" s="220"/>
    </row>
    <row r="56" spans="2:28" ht="16.5" customHeight="1" x14ac:dyDescent="0.25">
      <c r="B56" s="80"/>
      <c r="C56" s="81"/>
      <c r="D56" s="222"/>
      <c r="F56" s="80"/>
      <c r="G56" s="81"/>
      <c r="H56" s="222"/>
      <c r="J56" s="69" t="e">
        <f ca="1">MIN(D51:D55,H51:H55)</f>
        <v>#VALUE!</v>
      </c>
      <c r="L56" s="70"/>
      <c r="M56" s="71"/>
      <c r="N56" s="72"/>
      <c r="O56" s="216"/>
      <c r="P56" s="205"/>
      <c r="Q56" s="216"/>
      <c r="R56" s="9"/>
      <c r="S56" s="9"/>
      <c r="T56" s="9"/>
      <c r="U56" s="9"/>
      <c r="V56" s="57"/>
      <c r="X56" s="6"/>
      <c r="Y56" s="6"/>
      <c r="Z56" s="56"/>
    </row>
    <row r="57" spans="2:28" ht="16.5" customHeight="1" thickBot="1" x14ac:dyDescent="0.3">
      <c r="B57" s="62"/>
      <c r="C57" s="63"/>
      <c r="D57" s="223"/>
      <c r="E57" s="216"/>
      <c r="F57" s="62"/>
      <c r="G57" s="63"/>
      <c r="H57" s="223"/>
      <c r="I57" s="9"/>
      <c r="J57" s="73" t="e">
        <f ca="1">MAX(D51:D55,H51:H55)</f>
        <v>#VALUE!</v>
      </c>
      <c r="L57" s="74">
        <f>L56</f>
        <v>0</v>
      </c>
      <c r="M57" s="75">
        <f>M56</f>
        <v>0</v>
      </c>
      <c r="N57" s="68"/>
      <c r="O57" s="216"/>
      <c r="P57" s="5"/>
      <c r="Q57" s="216"/>
      <c r="R57" s="9"/>
      <c r="S57" s="9"/>
      <c r="T57" s="9"/>
      <c r="U57" s="9"/>
      <c r="V57" s="57"/>
      <c r="X57" s="58"/>
      <c r="Y57" s="58"/>
      <c r="Z57" s="56"/>
    </row>
    <row r="58" spans="2:28" ht="16.5" customHeight="1" thickBot="1" x14ac:dyDescent="0.3"/>
    <row r="59" spans="2:28" x14ac:dyDescent="0.25">
      <c r="B59" s="265" t="s">
        <v>26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205"/>
      <c r="L59" s="259" t="str">
        <f>F59</f>
        <v>LEGO_Bugatti</v>
      </c>
      <c r="M59" s="260"/>
      <c r="N59" s="261"/>
      <c r="O59" s="149"/>
      <c r="P59" s="205"/>
      <c r="U59" s="206"/>
      <c r="V59" s="206"/>
      <c r="X59" s="266"/>
      <c r="Y59" s="257"/>
      <c r="Z59" s="257"/>
    </row>
    <row r="60" spans="2:28" x14ac:dyDescent="0.25">
      <c r="B60" s="262" t="s">
        <v>47</v>
      </c>
      <c r="C60" s="257"/>
      <c r="D60" s="61" t="s">
        <v>48</v>
      </c>
      <c r="E60" s="216"/>
      <c r="F60" s="262" t="s">
        <v>47</v>
      </c>
      <c r="G60" s="257"/>
      <c r="H60" s="61" t="s">
        <v>48</v>
      </c>
      <c r="I60" s="9"/>
      <c r="J60" s="203" t="s">
        <v>49</v>
      </c>
      <c r="L60" s="256" t="s">
        <v>61</v>
      </c>
      <c r="M60" s="257"/>
      <c r="N60" s="258"/>
      <c r="O60" s="59"/>
      <c r="P60" s="3"/>
      <c r="R60" s="263"/>
      <c r="S60" s="257"/>
      <c r="T60" s="257"/>
      <c r="U60" s="201"/>
      <c r="V60" s="201"/>
      <c r="X60" s="263"/>
      <c r="Y60" s="257"/>
      <c r="Z60" s="257"/>
    </row>
    <row r="61" spans="2:28" x14ac:dyDescent="0.25">
      <c r="B61" s="145" t="s">
        <v>0</v>
      </c>
      <c r="C61" s="93" t="s">
        <v>51</v>
      </c>
      <c r="D61" s="60" t="s">
        <v>52</v>
      </c>
      <c r="E61" s="216"/>
      <c r="F61" s="145" t="s">
        <v>0</v>
      </c>
      <c r="G61" s="93" t="s">
        <v>51</v>
      </c>
      <c r="H61" s="60" t="s">
        <v>52</v>
      </c>
      <c r="I61" s="9"/>
      <c r="J61" s="64"/>
      <c r="L61" s="146" t="str">
        <f>CONCATENATE(B$2," ",L59)</f>
        <v>MPEG151-octree LEGO_Bugatti</v>
      </c>
      <c r="M61" s="147" t="str">
        <f>CONCATENATE(F$2," ",L59)</f>
        <v>MPEG151-修改上下文 LEGO_Bugatti</v>
      </c>
      <c r="N61" s="148" t="s">
        <v>53</v>
      </c>
      <c r="O61" s="2"/>
      <c r="P61" s="3" t="s">
        <v>44</v>
      </c>
      <c r="Q61" s="2"/>
      <c r="R61" s="2"/>
      <c r="S61" s="2"/>
      <c r="T61" s="2"/>
      <c r="U61" s="2"/>
      <c r="V61" s="2"/>
      <c r="X61" s="149"/>
      <c r="Y61" s="149"/>
      <c r="Z61" s="149"/>
    </row>
    <row r="62" spans="2:28" x14ac:dyDescent="0.25">
      <c r="B62" s="86" t="str">
        <f>B59</f>
        <v>LEGO_Bugatti</v>
      </c>
      <c r="C62" s="93" t="s">
        <v>54</v>
      </c>
      <c r="D62" s="217" t="e">
        <f ca="1">0.000001*INDIRECT($B62&amp;"!E5")</f>
        <v>#VALUE!</v>
      </c>
      <c r="E62" s="216"/>
      <c r="F62" s="86" t="str">
        <f>F59</f>
        <v>LEGO_Bugatti</v>
      </c>
      <c r="G62" s="93" t="s">
        <v>54</v>
      </c>
      <c r="H62" s="217" t="e">
        <f ca="1">0.000001*INDIRECT($B62&amp;"!AC5")</f>
        <v>#VALUE!</v>
      </c>
      <c r="I62" s="9"/>
      <c r="J62" s="218" t="e">
        <f ca="1">H62/D62-1</f>
        <v>#VALUE!</v>
      </c>
      <c r="L62" s="65" t="str">
        <f ca="1">INDIRECT($B62&amp;"!"&amp;L$3&amp;"5")</f>
        <v/>
      </c>
      <c r="M62" s="66" t="str">
        <f ca="1">INDIRECT($B62&amp;"!"&amp;M$3&amp;"5")</f>
        <v/>
      </c>
      <c r="N62" s="67" t="e">
        <f ca="1">M62-L62</f>
        <v>#VALUE!</v>
      </c>
      <c r="O62" s="216"/>
      <c r="P62" s="218" t="e">
        <f ca="1">bdRateExtend(D62:D66,L62:L66,H62:H66,M62:M66)</f>
        <v>#VALUE!</v>
      </c>
      <c r="Q62" s="216"/>
      <c r="R62" s="9"/>
      <c r="S62" s="9"/>
      <c r="T62" s="9"/>
      <c r="U62" s="9"/>
      <c r="V62" s="219"/>
      <c r="X62" s="6"/>
      <c r="Y62" s="6"/>
      <c r="Z62" s="56"/>
      <c r="AB62" s="220"/>
    </row>
    <row r="63" spans="2:28" x14ac:dyDescent="0.25">
      <c r="B63" s="86" t="str">
        <f>B62</f>
        <v>LEGO_Bugatti</v>
      </c>
      <c r="C63" s="93" t="s">
        <v>55</v>
      </c>
      <c r="D63" s="217" t="e">
        <f ca="1">0.000001*INDIRECT($B63&amp;"!E6")</f>
        <v>#VALUE!</v>
      </c>
      <c r="E63" s="216"/>
      <c r="F63" s="86" t="str">
        <f>F62</f>
        <v>LEGO_Bugatti</v>
      </c>
      <c r="G63" s="93" t="s">
        <v>55</v>
      </c>
      <c r="H63" s="217" t="e">
        <f ca="1">0.000001*INDIRECT($B63&amp;"!AC6")</f>
        <v>#VALUE!</v>
      </c>
      <c r="I63" s="9"/>
      <c r="J63" s="218" t="e">
        <f ca="1">H63/D63-1</f>
        <v>#VALUE!</v>
      </c>
      <c r="L63" s="65" t="str">
        <f ca="1">INDIRECT($B63&amp;"!"&amp;L$3&amp;"6")</f>
        <v/>
      </c>
      <c r="M63" s="66" t="str">
        <f ca="1">INDIRECT($B63&amp;"!"&amp;M$3&amp;"6")</f>
        <v/>
      </c>
      <c r="N63" s="67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6"/>
    </row>
    <row r="64" spans="2:28" x14ac:dyDescent="0.25">
      <c r="B64" s="86" t="str">
        <f>B63</f>
        <v>LEGO_Bugatti</v>
      </c>
      <c r="C64" s="93" t="s">
        <v>56</v>
      </c>
      <c r="D64" s="217" t="e">
        <f ca="1">0.000001*INDIRECT($B64&amp;"!E7")</f>
        <v>#VALUE!</v>
      </c>
      <c r="E64" s="216"/>
      <c r="F64" s="86" t="str">
        <f>F63</f>
        <v>LEGO_Bugatti</v>
      </c>
      <c r="G64" s="93" t="s">
        <v>56</v>
      </c>
      <c r="H64" s="217" t="e">
        <f ca="1">0.000001*INDIRECT($B64&amp;"!AC7")</f>
        <v>#VALUE!</v>
      </c>
      <c r="I64" s="9"/>
      <c r="J64" s="218" t="e">
        <f ca="1">H64/D64-1</f>
        <v>#VALUE!</v>
      </c>
      <c r="L64" s="65" t="str">
        <f ca="1">INDIRECT($B64&amp;"!"&amp;L$3&amp;"7")</f>
        <v/>
      </c>
      <c r="M64" s="66" t="str">
        <f ca="1">INDIRECT($B64&amp;"!"&amp;M$3&amp;"7")</f>
        <v/>
      </c>
      <c r="N64" s="67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6"/>
    </row>
    <row r="65" spans="2:28" x14ac:dyDescent="0.25">
      <c r="B65" s="86" t="str">
        <f>B64</f>
        <v>LEGO_Bugatti</v>
      </c>
      <c r="C65" s="93" t="s">
        <v>57</v>
      </c>
      <c r="D65" s="217" t="e">
        <f ca="1">0.000001*INDIRECT($B65&amp;"!E8")</f>
        <v>#VALUE!</v>
      </c>
      <c r="E65" s="216"/>
      <c r="F65" s="86" t="str">
        <f>F64</f>
        <v>LEGO_Bugatti</v>
      </c>
      <c r="G65" s="93" t="s">
        <v>57</v>
      </c>
      <c r="H65" s="217" t="e">
        <f ca="1">0.000001*INDIRECT($B65&amp;"!AC8")</f>
        <v>#VALUE!</v>
      </c>
      <c r="I65" s="9"/>
      <c r="J65" s="218" t="e">
        <f ca="1">H65/D65-1</f>
        <v>#VALUE!</v>
      </c>
      <c r="L65" s="65" t="str">
        <f ca="1">INDIRECT($B65&amp;"!"&amp;L$3&amp;"8")</f>
        <v/>
      </c>
      <c r="M65" s="66" t="str">
        <f ca="1">INDIRECT($B65&amp;"!"&amp;M$3&amp;"8")</f>
        <v/>
      </c>
      <c r="N65" s="67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6"/>
    </row>
    <row r="66" spans="2:28" ht="16.5" customHeight="1" thickBot="1" x14ac:dyDescent="0.3">
      <c r="B66" s="86" t="str">
        <f>B65</f>
        <v>LEGO_Bugatti</v>
      </c>
      <c r="C66" s="93" t="s">
        <v>58</v>
      </c>
      <c r="D66" s="217" t="e">
        <f ca="1">0.000001*INDIRECT($B66&amp;"!E9")</f>
        <v>#VALUE!</v>
      </c>
      <c r="E66" s="216"/>
      <c r="F66" s="86" t="str">
        <f>F65</f>
        <v>LEGO_Bugatti</v>
      </c>
      <c r="G66" s="93" t="s">
        <v>58</v>
      </c>
      <c r="H66" s="217" t="e">
        <f ca="1">0.000001*INDIRECT($B66&amp;"!AC9")</f>
        <v>#VALUE!</v>
      </c>
      <c r="I66" s="9"/>
      <c r="J66" s="218" t="e">
        <f ca="1">H66/D66-1</f>
        <v>#VALUE!</v>
      </c>
      <c r="L66" s="65" t="str">
        <f ca="1">INDIRECT($B66&amp;"!"&amp;L$3&amp;"9")</f>
        <v/>
      </c>
      <c r="M66" s="66" t="str">
        <f ca="1">INDIRECT($B66&amp;"!"&amp;M$3&amp;"9")</f>
        <v/>
      </c>
      <c r="N66" s="67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6"/>
      <c r="AB66" s="220"/>
    </row>
    <row r="67" spans="2:28" ht="16.5" customHeight="1" x14ac:dyDescent="0.25">
      <c r="B67" s="80"/>
      <c r="C67" s="81"/>
      <c r="D67" s="222"/>
      <c r="F67" s="80"/>
      <c r="G67" s="81"/>
      <c r="H67" s="222"/>
      <c r="J67" s="69" t="e">
        <f ca="1">MIN(D62:D66,H62:H66)</f>
        <v>#VALUE!</v>
      </c>
      <c r="L67" s="70"/>
      <c r="M67" s="71"/>
      <c r="N67" s="72"/>
      <c r="O67" s="216"/>
      <c r="P67" s="205"/>
      <c r="Q67" s="216"/>
      <c r="R67" s="9"/>
      <c r="S67" s="9"/>
      <c r="T67" s="9"/>
      <c r="U67" s="9"/>
      <c r="V67" s="57"/>
      <c r="X67" s="6"/>
      <c r="Y67" s="6"/>
      <c r="Z67" s="56"/>
    </row>
    <row r="68" spans="2:28" ht="16.5" customHeight="1" thickBot="1" x14ac:dyDescent="0.3">
      <c r="B68" s="62"/>
      <c r="C68" s="63"/>
      <c r="D68" s="223"/>
      <c r="E68" s="216"/>
      <c r="F68" s="62"/>
      <c r="G68" s="63"/>
      <c r="H68" s="223"/>
      <c r="I68" s="9"/>
      <c r="J68" s="73" t="e">
        <f ca="1">MAX(D62:D66,H62:H66)</f>
        <v>#VALUE!</v>
      </c>
      <c r="L68" s="74">
        <f>L67</f>
        <v>0</v>
      </c>
      <c r="M68" s="75">
        <f>M67</f>
        <v>0</v>
      </c>
      <c r="N68" s="68"/>
      <c r="O68" s="216"/>
      <c r="P68" s="5"/>
      <c r="Q68" s="216"/>
      <c r="R68" s="9"/>
      <c r="S68" s="9"/>
      <c r="T68" s="9"/>
      <c r="U68" s="9"/>
      <c r="V68" s="57"/>
      <c r="X68" s="58"/>
      <c r="Y68" s="58"/>
      <c r="Z68" s="56"/>
    </row>
    <row r="69" spans="2:28" ht="16.5" customHeight="1" thickBot="1" x14ac:dyDescent="0.3"/>
    <row r="70" spans="2:28" x14ac:dyDescent="0.25">
      <c r="B70" s="265" t="s">
        <v>27</v>
      </c>
      <c r="C70" s="260"/>
      <c r="D70" s="261"/>
      <c r="E70" s="2"/>
      <c r="F70" s="265" t="str">
        <f>B70</f>
        <v>Plant</v>
      </c>
      <c r="G70" s="260"/>
      <c r="H70" s="261"/>
      <c r="I70" s="2"/>
      <c r="J70" s="205"/>
      <c r="L70" s="259" t="str">
        <f>F70</f>
        <v>Plant</v>
      </c>
      <c r="M70" s="260"/>
      <c r="N70" s="261"/>
      <c r="O70" s="149"/>
      <c r="P70" s="205"/>
      <c r="U70" s="206"/>
      <c r="V70" s="206"/>
      <c r="X70" s="266"/>
      <c r="Y70" s="257"/>
      <c r="Z70" s="257"/>
    </row>
    <row r="71" spans="2:28" x14ac:dyDescent="0.25">
      <c r="B71" s="262" t="s">
        <v>47</v>
      </c>
      <c r="C71" s="257"/>
      <c r="D71" s="61" t="s">
        <v>48</v>
      </c>
      <c r="E71" s="216"/>
      <c r="F71" s="262" t="s">
        <v>47</v>
      </c>
      <c r="G71" s="257"/>
      <c r="H71" s="61" t="s">
        <v>48</v>
      </c>
      <c r="I71" s="9"/>
      <c r="J71" s="203" t="s">
        <v>49</v>
      </c>
      <c r="L71" s="256" t="s">
        <v>61</v>
      </c>
      <c r="M71" s="257"/>
      <c r="N71" s="258"/>
      <c r="O71" s="59"/>
      <c r="P71" s="3"/>
      <c r="R71" s="263"/>
      <c r="S71" s="257"/>
      <c r="T71" s="257"/>
      <c r="U71" s="201"/>
      <c r="V71" s="201"/>
      <c r="X71" s="263"/>
      <c r="Y71" s="257"/>
      <c r="Z71" s="257"/>
    </row>
    <row r="72" spans="2:28" x14ac:dyDescent="0.25">
      <c r="B72" s="145" t="s">
        <v>0</v>
      </c>
      <c r="C72" s="93" t="s">
        <v>51</v>
      </c>
      <c r="D72" s="60" t="s">
        <v>52</v>
      </c>
      <c r="E72" s="216"/>
      <c r="F72" s="145" t="s">
        <v>0</v>
      </c>
      <c r="G72" s="93" t="s">
        <v>51</v>
      </c>
      <c r="H72" s="60" t="s">
        <v>52</v>
      </c>
      <c r="I72" s="9"/>
      <c r="J72" s="64"/>
      <c r="L72" s="146" t="str">
        <f>CONCATENATE(B$2," ",L70)</f>
        <v>MPEG151-octree Plant</v>
      </c>
      <c r="M72" s="147" t="str">
        <f>CONCATENATE(F$2," ",L70)</f>
        <v>MPEG151-修改上下文 Plant</v>
      </c>
      <c r="N72" s="148" t="s">
        <v>53</v>
      </c>
      <c r="O72" s="2"/>
      <c r="P72" s="3" t="s">
        <v>44</v>
      </c>
      <c r="Q72" s="2"/>
      <c r="R72" s="2"/>
      <c r="S72" s="2"/>
      <c r="T72" s="2"/>
      <c r="U72" s="2"/>
      <c r="V72" s="2"/>
      <c r="X72" s="149"/>
      <c r="Y72" s="149"/>
      <c r="Z72" s="149"/>
    </row>
    <row r="73" spans="2:28" x14ac:dyDescent="0.25">
      <c r="B73" s="86" t="str">
        <f>B70</f>
        <v>Plant</v>
      </c>
      <c r="C73" s="93" t="s">
        <v>54</v>
      </c>
      <c r="D73" s="217" t="e">
        <f ca="1">0.000001*INDIRECT($B73&amp;"!E5")</f>
        <v>#VALUE!</v>
      </c>
      <c r="E73" s="216"/>
      <c r="F73" s="86" t="str">
        <f>F70</f>
        <v>Plant</v>
      </c>
      <c r="G73" s="93" t="s">
        <v>54</v>
      </c>
      <c r="H73" s="217" t="e">
        <f ca="1">0.000001*INDIRECT($B73&amp;"!AC5")</f>
        <v>#VALUE!</v>
      </c>
      <c r="I73" s="9"/>
      <c r="J73" s="218" t="e">
        <f ca="1">H73/D73-1</f>
        <v>#VALUE!</v>
      </c>
      <c r="L73" s="65" t="str">
        <f ca="1">INDIRECT($B73&amp;"!"&amp;L$3&amp;"5")</f>
        <v/>
      </c>
      <c r="M73" s="66" t="str">
        <f ca="1">INDIRECT($B73&amp;"!"&amp;M$3&amp;"5")</f>
        <v/>
      </c>
      <c r="N73" s="67" t="e">
        <f ca="1">M73-L73</f>
        <v>#VALUE!</v>
      </c>
      <c r="O73" s="216"/>
      <c r="P73" s="218" t="e">
        <f ca="1">bdRateExtend(D73:D77,L73:L77,H73:H77,M73:M77)</f>
        <v>#VALUE!</v>
      </c>
      <c r="Q73" s="216"/>
      <c r="R73" s="9"/>
      <c r="S73" s="9"/>
      <c r="T73" s="9"/>
      <c r="U73" s="9"/>
      <c r="V73" s="219"/>
      <c r="X73" s="6"/>
      <c r="Y73" s="6"/>
      <c r="Z73" s="56"/>
      <c r="AB73" s="220"/>
    </row>
    <row r="74" spans="2:28" x14ac:dyDescent="0.25">
      <c r="B74" s="86" t="str">
        <f>B73</f>
        <v>Plant</v>
      </c>
      <c r="C74" s="93" t="s">
        <v>55</v>
      </c>
      <c r="D74" s="217" t="e">
        <f ca="1">0.000001*INDIRECT($B74&amp;"!E6")</f>
        <v>#VALUE!</v>
      </c>
      <c r="E74" s="216"/>
      <c r="F74" s="86" t="str">
        <f>F73</f>
        <v>Plant</v>
      </c>
      <c r="G74" s="93" t="s">
        <v>55</v>
      </c>
      <c r="H74" s="217" t="e">
        <f ca="1">0.000001*INDIRECT($B74&amp;"!AC6")</f>
        <v>#VALUE!</v>
      </c>
      <c r="I74" s="9"/>
      <c r="J74" s="218" t="e">
        <f ca="1">H74/D74-1</f>
        <v>#VALUE!</v>
      </c>
      <c r="L74" s="65" t="str">
        <f ca="1">INDIRECT($B74&amp;"!"&amp;L$3&amp;"6")</f>
        <v/>
      </c>
      <c r="M74" s="66" t="str">
        <f ca="1">INDIRECT($B74&amp;"!"&amp;M$3&amp;"6")</f>
        <v/>
      </c>
      <c r="N74" s="67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6"/>
    </row>
    <row r="75" spans="2:28" x14ac:dyDescent="0.25">
      <c r="B75" s="86" t="str">
        <f>B74</f>
        <v>Plant</v>
      </c>
      <c r="C75" s="93" t="s">
        <v>56</v>
      </c>
      <c r="D75" s="217" t="e">
        <f ca="1">0.000001*INDIRECT($B75&amp;"!E7")</f>
        <v>#VALUE!</v>
      </c>
      <c r="E75" s="216"/>
      <c r="F75" s="86" t="str">
        <f>F74</f>
        <v>Plant</v>
      </c>
      <c r="G75" s="93" t="s">
        <v>56</v>
      </c>
      <c r="H75" s="217" t="e">
        <f ca="1">0.000001*INDIRECT($B75&amp;"!AC7")</f>
        <v>#VALUE!</v>
      </c>
      <c r="I75" s="9"/>
      <c r="J75" s="218" t="e">
        <f ca="1">H75/D75-1</f>
        <v>#VALUE!</v>
      </c>
      <c r="L75" s="65" t="str">
        <f ca="1">INDIRECT($B75&amp;"!"&amp;L$3&amp;"7")</f>
        <v/>
      </c>
      <c r="M75" s="66" t="str">
        <f ca="1">INDIRECT($B75&amp;"!"&amp;M$3&amp;"7")</f>
        <v/>
      </c>
      <c r="N75" s="67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6"/>
    </row>
    <row r="76" spans="2:28" x14ac:dyDescent="0.25">
      <c r="B76" s="86" t="str">
        <f>B75</f>
        <v>Plant</v>
      </c>
      <c r="C76" s="93" t="s">
        <v>57</v>
      </c>
      <c r="D76" s="217" t="e">
        <f ca="1">0.000001*INDIRECT($B76&amp;"!E8")</f>
        <v>#VALUE!</v>
      </c>
      <c r="E76" s="216"/>
      <c r="F76" s="86" t="str">
        <f>F75</f>
        <v>Plant</v>
      </c>
      <c r="G76" s="93" t="s">
        <v>57</v>
      </c>
      <c r="H76" s="217" t="e">
        <f ca="1">0.000001*INDIRECT($B76&amp;"!AC8")</f>
        <v>#VALUE!</v>
      </c>
      <c r="I76" s="9"/>
      <c r="J76" s="218" t="e">
        <f ca="1">H76/D76-1</f>
        <v>#VALUE!</v>
      </c>
      <c r="L76" s="65" t="str">
        <f ca="1">INDIRECT($B76&amp;"!"&amp;L$3&amp;"8")</f>
        <v/>
      </c>
      <c r="M76" s="66" t="str">
        <f ca="1">INDIRECT($B76&amp;"!"&amp;M$3&amp;"8")</f>
        <v/>
      </c>
      <c r="N76" s="67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6"/>
    </row>
    <row r="77" spans="2:28" ht="16.5" customHeight="1" thickBot="1" x14ac:dyDescent="0.3">
      <c r="B77" s="86" t="str">
        <f>B76</f>
        <v>Plant</v>
      </c>
      <c r="C77" s="93" t="s">
        <v>58</v>
      </c>
      <c r="D77" s="217" t="e">
        <f ca="1">0.000001*INDIRECT($B77&amp;"!E9")</f>
        <v>#VALUE!</v>
      </c>
      <c r="E77" s="216"/>
      <c r="F77" s="86" t="str">
        <f>F76</f>
        <v>Plant</v>
      </c>
      <c r="G77" s="93" t="s">
        <v>58</v>
      </c>
      <c r="H77" s="217" t="e">
        <f ca="1">0.000001*INDIRECT($B77&amp;"!AC9")</f>
        <v>#VALUE!</v>
      </c>
      <c r="I77" s="9"/>
      <c r="J77" s="218" t="e">
        <f ca="1">H77/D77-1</f>
        <v>#VALUE!</v>
      </c>
      <c r="L77" s="65" t="str">
        <f ca="1">INDIRECT($B77&amp;"!"&amp;L$3&amp;"9")</f>
        <v/>
      </c>
      <c r="M77" s="66" t="str">
        <f ca="1">INDIRECT($B77&amp;"!"&amp;M$3&amp;"9")</f>
        <v/>
      </c>
      <c r="N77" s="67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6"/>
      <c r="AB77" s="220"/>
    </row>
    <row r="78" spans="2:28" ht="16.5" customHeight="1" x14ac:dyDescent="0.25">
      <c r="B78" s="80"/>
      <c r="C78" s="81"/>
      <c r="D78" s="222"/>
      <c r="F78" s="80"/>
      <c r="G78" s="81"/>
      <c r="H78" s="222"/>
      <c r="J78" s="69" t="e">
        <f ca="1">MIN(D73:D77,H73:H77)</f>
        <v>#VALUE!</v>
      </c>
      <c r="L78" s="70"/>
      <c r="M78" s="71"/>
      <c r="N78" s="72"/>
      <c r="O78" s="216"/>
      <c r="P78" s="205"/>
      <c r="Q78" s="216"/>
      <c r="R78" s="9"/>
      <c r="S78" s="9"/>
      <c r="T78" s="9"/>
      <c r="U78" s="9"/>
      <c r="V78" s="57"/>
      <c r="X78" s="6"/>
      <c r="Y78" s="6"/>
      <c r="Z78" s="56"/>
    </row>
    <row r="79" spans="2:28" ht="16.5" customHeight="1" thickBot="1" x14ac:dyDescent="0.3">
      <c r="B79" s="62"/>
      <c r="C79" s="63"/>
      <c r="D79" s="223"/>
      <c r="E79" s="216"/>
      <c r="F79" s="62"/>
      <c r="G79" s="63"/>
      <c r="H79" s="223"/>
      <c r="I79" s="9"/>
      <c r="J79" s="73" t="e">
        <f ca="1">MAX(D73:D77,H73:H77)</f>
        <v>#VALUE!</v>
      </c>
      <c r="L79" s="74">
        <f>L78</f>
        <v>0</v>
      </c>
      <c r="M79" s="75">
        <f>M78</f>
        <v>0</v>
      </c>
      <c r="N79" s="68"/>
      <c r="O79" s="216"/>
      <c r="P79" s="5"/>
      <c r="Q79" s="216"/>
      <c r="R79" s="9"/>
      <c r="S79" s="9"/>
      <c r="T79" s="9"/>
      <c r="U79" s="9"/>
      <c r="V79" s="57"/>
      <c r="X79" s="58"/>
      <c r="Y79" s="58"/>
      <c r="Z79" s="56"/>
    </row>
    <row r="80" spans="2:28" ht="16.5" customHeight="1" thickBot="1" x14ac:dyDescent="0.3"/>
    <row r="81" spans="2:28" x14ac:dyDescent="0.25">
      <c r="B81" s="265" t="s">
        <v>28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205"/>
      <c r="L81" s="259" t="str">
        <f>F81</f>
        <v>Tennis_Player</v>
      </c>
      <c r="M81" s="260"/>
      <c r="N81" s="261"/>
      <c r="O81" s="149"/>
      <c r="P81" s="205"/>
      <c r="U81" s="206"/>
      <c r="V81" s="206"/>
      <c r="X81" s="266"/>
      <c r="Y81" s="257"/>
      <c r="Z81" s="257"/>
    </row>
    <row r="82" spans="2:28" x14ac:dyDescent="0.25">
      <c r="B82" s="262" t="s">
        <v>47</v>
      </c>
      <c r="C82" s="257"/>
      <c r="D82" s="61" t="s">
        <v>48</v>
      </c>
      <c r="E82" s="216"/>
      <c r="F82" s="262" t="s">
        <v>47</v>
      </c>
      <c r="G82" s="257"/>
      <c r="H82" s="61" t="s">
        <v>48</v>
      </c>
      <c r="I82" s="9"/>
      <c r="J82" s="203" t="s">
        <v>49</v>
      </c>
      <c r="L82" s="256" t="s">
        <v>61</v>
      </c>
      <c r="M82" s="257"/>
      <c r="N82" s="258"/>
      <c r="O82" s="59"/>
      <c r="P82" s="3"/>
      <c r="R82" s="263"/>
      <c r="S82" s="257"/>
      <c r="T82" s="257"/>
      <c r="U82" s="201"/>
      <c r="V82" s="201"/>
      <c r="X82" s="263"/>
      <c r="Y82" s="257"/>
      <c r="Z82" s="257"/>
    </row>
    <row r="83" spans="2:28" x14ac:dyDescent="0.25">
      <c r="B83" s="145" t="s">
        <v>0</v>
      </c>
      <c r="C83" s="93" t="s">
        <v>51</v>
      </c>
      <c r="D83" s="60" t="s">
        <v>52</v>
      </c>
      <c r="E83" s="216"/>
      <c r="F83" s="145" t="s">
        <v>0</v>
      </c>
      <c r="G83" s="93" t="s">
        <v>51</v>
      </c>
      <c r="H83" s="60" t="s">
        <v>52</v>
      </c>
      <c r="I83" s="9"/>
      <c r="J83" s="64"/>
      <c r="L83" s="146" t="str">
        <f>CONCATENATE(B$2," ",L81)</f>
        <v>MPEG151-octree Tennis_Player</v>
      </c>
      <c r="M83" s="147" t="str">
        <f>CONCATENATE(F$2," ",L81)</f>
        <v>MPEG151-修改上下文 Tennis_Player</v>
      </c>
      <c r="N83" s="148" t="s">
        <v>53</v>
      </c>
      <c r="O83" s="2"/>
      <c r="P83" s="3" t="s">
        <v>44</v>
      </c>
      <c r="Q83" s="2"/>
      <c r="R83" s="2"/>
      <c r="S83" s="2"/>
      <c r="T83" s="2"/>
      <c r="U83" s="2"/>
      <c r="V83" s="2"/>
      <c r="X83" s="149"/>
      <c r="Y83" s="149"/>
      <c r="Z83" s="149"/>
    </row>
    <row r="84" spans="2:28" x14ac:dyDescent="0.25">
      <c r="B84" s="86" t="str">
        <f>B81</f>
        <v>Tennis_Player</v>
      </c>
      <c r="C84" s="93" t="s">
        <v>54</v>
      </c>
      <c r="D84" s="217" t="e">
        <f ca="1">0.000001*INDIRECT($B84&amp;"!E5")</f>
        <v>#VALUE!</v>
      </c>
      <c r="E84" s="216"/>
      <c r="F84" s="86" t="str">
        <f>F81</f>
        <v>Tennis_Player</v>
      </c>
      <c r="G84" s="93" t="s">
        <v>54</v>
      </c>
      <c r="H84" s="217" t="e">
        <f ca="1">0.000001*INDIRECT($B84&amp;"!AC5")</f>
        <v>#VALUE!</v>
      </c>
      <c r="I84" s="9"/>
      <c r="J84" s="218" t="e">
        <f ca="1">H84/D84-1</f>
        <v>#VALUE!</v>
      </c>
      <c r="L84" s="65" t="str">
        <f ca="1">INDIRECT($B84&amp;"!"&amp;L$3&amp;"5")</f>
        <v/>
      </c>
      <c r="M84" s="66" t="str">
        <f ca="1">INDIRECT($B84&amp;"!"&amp;M$3&amp;"5")</f>
        <v/>
      </c>
      <c r="N84" s="67" t="e">
        <f ca="1">M84-L84</f>
        <v>#VALUE!</v>
      </c>
      <c r="O84" s="216"/>
      <c r="P84" s="218" t="e">
        <f ca="1">bdRateExtend(D84:D88,L84:L88,H84:H88,M84:M88)</f>
        <v>#VALUE!</v>
      </c>
      <c r="Q84" s="216"/>
      <c r="R84" s="9"/>
      <c r="S84" s="9"/>
      <c r="T84" s="9"/>
      <c r="U84" s="9"/>
      <c r="V84" s="219"/>
      <c r="X84" s="6"/>
      <c r="Y84" s="6"/>
      <c r="Z84" s="56"/>
      <c r="AB84" s="220"/>
    </row>
    <row r="85" spans="2:28" x14ac:dyDescent="0.25">
      <c r="B85" s="86" t="str">
        <f>B84</f>
        <v>Tennis_Player</v>
      </c>
      <c r="C85" s="93" t="s">
        <v>55</v>
      </c>
      <c r="D85" s="217" t="e">
        <f ca="1">0.000001*INDIRECT($B85&amp;"!E6")</f>
        <v>#VALUE!</v>
      </c>
      <c r="E85" s="216"/>
      <c r="F85" s="86" t="str">
        <f>F84</f>
        <v>Tennis_Player</v>
      </c>
      <c r="G85" s="93" t="s">
        <v>55</v>
      </c>
      <c r="H85" s="217" t="e">
        <f ca="1">0.000001*INDIRECT($B85&amp;"!AC6")</f>
        <v>#VALUE!</v>
      </c>
      <c r="I85" s="9"/>
      <c r="J85" s="218" t="e">
        <f ca="1">H85/D85-1</f>
        <v>#VALUE!</v>
      </c>
      <c r="L85" s="65" t="str">
        <f ca="1">INDIRECT($B85&amp;"!"&amp;L$3&amp;"6")</f>
        <v/>
      </c>
      <c r="M85" s="66" t="str">
        <f ca="1">INDIRECT($B85&amp;"!"&amp;M$3&amp;"6")</f>
        <v/>
      </c>
      <c r="N85" s="67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6"/>
    </row>
    <row r="86" spans="2:28" x14ac:dyDescent="0.25">
      <c r="B86" s="86" t="str">
        <f>B85</f>
        <v>Tennis_Player</v>
      </c>
      <c r="C86" s="93" t="s">
        <v>56</v>
      </c>
      <c r="D86" s="217" t="e">
        <f ca="1">0.000001*INDIRECT($B86&amp;"!E7")</f>
        <v>#VALUE!</v>
      </c>
      <c r="E86" s="216"/>
      <c r="F86" s="86" t="str">
        <f>F85</f>
        <v>Tennis_Player</v>
      </c>
      <c r="G86" s="93" t="s">
        <v>56</v>
      </c>
      <c r="H86" s="217" t="e">
        <f ca="1">0.000001*INDIRECT($B86&amp;"!AC7")</f>
        <v>#VALUE!</v>
      </c>
      <c r="I86" s="9"/>
      <c r="J86" s="218" t="e">
        <f ca="1">H86/D86-1</f>
        <v>#VALUE!</v>
      </c>
      <c r="L86" s="65" t="str">
        <f ca="1">INDIRECT($B86&amp;"!"&amp;L$3&amp;"7")</f>
        <v/>
      </c>
      <c r="M86" s="66" t="str">
        <f ca="1">INDIRECT($B86&amp;"!"&amp;M$3&amp;"7")</f>
        <v/>
      </c>
      <c r="N86" s="67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6"/>
    </row>
    <row r="87" spans="2:28" x14ac:dyDescent="0.25">
      <c r="B87" s="86" t="str">
        <f>B86</f>
        <v>Tennis_Player</v>
      </c>
      <c r="C87" s="93" t="s">
        <v>57</v>
      </c>
      <c r="D87" s="217" t="e">
        <f ca="1">0.000001*INDIRECT($B87&amp;"!E8")</f>
        <v>#VALUE!</v>
      </c>
      <c r="E87" s="216"/>
      <c r="F87" s="86" t="str">
        <f>F86</f>
        <v>Tennis_Player</v>
      </c>
      <c r="G87" s="93" t="s">
        <v>57</v>
      </c>
      <c r="H87" s="217" t="e">
        <f ca="1">0.000001*INDIRECT($B87&amp;"!AC8")</f>
        <v>#VALUE!</v>
      </c>
      <c r="I87" s="9"/>
      <c r="J87" s="218" t="e">
        <f ca="1">H87/D87-1</f>
        <v>#VALUE!</v>
      </c>
      <c r="L87" s="65" t="str">
        <f ca="1">INDIRECT($B87&amp;"!"&amp;L$3&amp;"8")</f>
        <v/>
      </c>
      <c r="M87" s="66" t="str">
        <f ca="1">INDIRECT($B87&amp;"!"&amp;M$3&amp;"8")</f>
        <v/>
      </c>
      <c r="N87" s="67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6"/>
    </row>
    <row r="88" spans="2:28" ht="16.5" customHeight="1" thickBot="1" x14ac:dyDescent="0.3">
      <c r="B88" s="86" t="str">
        <f>B87</f>
        <v>Tennis_Player</v>
      </c>
      <c r="C88" s="93" t="s">
        <v>58</v>
      </c>
      <c r="D88" s="217" t="e">
        <f ca="1">0.000001*INDIRECT($B88&amp;"!E9")</f>
        <v>#VALUE!</v>
      </c>
      <c r="E88" s="216"/>
      <c r="F88" s="86" t="str">
        <f>F87</f>
        <v>Tennis_Player</v>
      </c>
      <c r="G88" s="93" t="s">
        <v>58</v>
      </c>
      <c r="H88" s="217" t="e">
        <f ca="1">0.000001*INDIRECT($B88&amp;"!AC9")</f>
        <v>#VALUE!</v>
      </c>
      <c r="I88" s="9"/>
      <c r="J88" s="218" t="e">
        <f ca="1">H88/D88-1</f>
        <v>#VALUE!</v>
      </c>
      <c r="L88" s="65" t="str">
        <f ca="1">INDIRECT($B88&amp;"!"&amp;L$3&amp;"9")</f>
        <v/>
      </c>
      <c r="M88" s="66" t="str">
        <f ca="1">INDIRECT($B88&amp;"!"&amp;M$3&amp;"9")</f>
        <v/>
      </c>
      <c r="N88" s="67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6"/>
      <c r="AB88" s="220"/>
    </row>
    <row r="89" spans="2:28" ht="16.5" customHeight="1" x14ac:dyDescent="0.25">
      <c r="B89" s="80"/>
      <c r="C89" s="81"/>
      <c r="D89" s="222"/>
      <c r="F89" s="80"/>
      <c r="G89" s="81"/>
      <c r="H89" s="222"/>
      <c r="J89" s="69" t="e">
        <f ca="1">MIN(D84:D88,H84:H88)</f>
        <v>#VALUE!</v>
      </c>
      <c r="L89" s="70"/>
      <c r="M89" s="71"/>
      <c r="N89" s="72"/>
      <c r="O89" s="216"/>
      <c r="P89" s="205"/>
      <c r="Q89" s="216"/>
      <c r="R89" s="9"/>
      <c r="S89" s="9"/>
      <c r="T89" s="9"/>
      <c r="U89" s="9"/>
      <c r="V89" s="57"/>
      <c r="X89" s="6"/>
      <c r="Y89" s="6"/>
      <c r="Z89" s="56"/>
    </row>
    <row r="90" spans="2:28" ht="16.5" customHeight="1" thickBot="1" x14ac:dyDescent="0.3">
      <c r="B90" s="62"/>
      <c r="C90" s="63"/>
      <c r="D90" s="223"/>
      <c r="E90" s="216"/>
      <c r="F90" s="62"/>
      <c r="G90" s="63"/>
      <c r="H90" s="223"/>
      <c r="I90" s="9"/>
      <c r="J90" s="73" t="e">
        <f ca="1">MAX(D84:D88,H84:H88)</f>
        <v>#VALUE!</v>
      </c>
      <c r="L90" s="74">
        <f>L89</f>
        <v>0</v>
      </c>
      <c r="M90" s="75">
        <f>M89</f>
        <v>0</v>
      </c>
      <c r="N90" s="68"/>
      <c r="O90" s="216"/>
      <c r="P90" s="5"/>
      <c r="Q90" s="216"/>
      <c r="R90" s="9"/>
      <c r="S90" s="9"/>
      <c r="T90" s="9"/>
      <c r="U90" s="9"/>
      <c r="V90" s="57"/>
      <c r="X90" s="58"/>
      <c r="Y90" s="58"/>
      <c r="Z90" s="56"/>
    </row>
    <row r="91" spans="2:28" ht="16.5" customHeight="1" thickBot="1" x14ac:dyDescent="0.3"/>
    <row r="92" spans="2:28" x14ac:dyDescent="0.25">
      <c r="B92" s="265" t="s">
        <v>29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205"/>
      <c r="L92" s="259" t="str">
        <f>F92</f>
        <v>Cricket_Player</v>
      </c>
      <c r="M92" s="260"/>
      <c r="N92" s="261"/>
      <c r="O92" s="149"/>
      <c r="P92" s="205"/>
      <c r="U92" s="206"/>
      <c r="V92" s="206"/>
      <c r="X92" s="266"/>
      <c r="Y92" s="257"/>
      <c r="Z92" s="257"/>
    </row>
    <row r="93" spans="2:28" x14ac:dyDescent="0.25">
      <c r="B93" s="262" t="s">
        <v>47</v>
      </c>
      <c r="C93" s="257"/>
      <c r="D93" s="61" t="s">
        <v>48</v>
      </c>
      <c r="E93" s="216"/>
      <c r="F93" s="262" t="s">
        <v>47</v>
      </c>
      <c r="G93" s="257"/>
      <c r="H93" s="61" t="s">
        <v>48</v>
      </c>
      <c r="I93" s="9"/>
      <c r="J93" s="203" t="s">
        <v>49</v>
      </c>
      <c r="L93" s="256" t="s">
        <v>61</v>
      </c>
      <c r="M93" s="257"/>
      <c r="N93" s="258"/>
      <c r="O93" s="59"/>
      <c r="P93" s="3"/>
      <c r="R93" s="263"/>
      <c r="S93" s="257"/>
      <c r="T93" s="257"/>
      <c r="U93" s="201"/>
      <c r="V93" s="201"/>
      <c r="X93" s="263"/>
      <c r="Y93" s="257"/>
      <c r="Z93" s="257"/>
    </row>
    <row r="94" spans="2:28" x14ac:dyDescent="0.25">
      <c r="B94" s="145" t="s">
        <v>0</v>
      </c>
      <c r="C94" s="93" t="s">
        <v>51</v>
      </c>
      <c r="D94" s="60" t="s">
        <v>52</v>
      </c>
      <c r="E94" s="216"/>
      <c r="F94" s="145" t="s">
        <v>0</v>
      </c>
      <c r="G94" s="93" t="s">
        <v>51</v>
      </c>
      <c r="H94" s="60" t="s">
        <v>52</v>
      </c>
      <c r="I94" s="9"/>
      <c r="J94" s="64"/>
      <c r="L94" s="146" t="str">
        <f>CONCATENATE(B$2," ",L92)</f>
        <v>MPEG151-octree Cricket_Player</v>
      </c>
      <c r="M94" s="147" t="str">
        <f>CONCATENATE(F$2," ",L92)</f>
        <v>MPEG151-修改上下文 Cricket_Player</v>
      </c>
      <c r="N94" s="148" t="s">
        <v>53</v>
      </c>
      <c r="O94" s="2"/>
      <c r="P94" s="3" t="s">
        <v>44</v>
      </c>
      <c r="Q94" s="2"/>
      <c r="R94" s="2"/>
      <c r="S94" s="2"/>
      <c r="T94" s="2"/>
      <c r="U94" s="2"/>
      <c r="V94" s="2"/>
      <c r="X94" s="149"/>
      <c r="Y94" s="149"/>
      <c r="Z94" s="149"/>
    </row>
    <row r="95" spans="2:28" x14ac:dyDescent="0.25">
      <c r="B95" s="86" t="str">
        <f>B92</f>
        <v>Cricket_Player</v>
      </c>
      <c r="C95" s="93" t="s">
        <v>54</v>
      </c>
      <c r="D95" s="217" t="e">
        <f ca="1">0.000001*INDIRECT($B95&amp;"!E5")</f>
        <v>#VALUE!</v>
      </c>
      <c r="E95" s="216"/>
      <c r="F95" s="86" t="str">
        <f>F92</f>
        <v>Cricket_Player</v>
      </c>
      <c r="G95" s="93" t="s">
        <v>54</v>
      </c>
      <c r="H95" s="217" t="e">
        <f ca="1">0.000001*INDIRECT($B95&amp;"!AC5")</f>
        <v>#VALUE!</v>
      </c>
      <c r="I95" s="9"/>
      <c r="J95" s="218" t="e">
        <f ca="1">H95/D95-1</f>
        <v>#VALUE!</v>
      </c>
      <c r="L95" s="65" t="str">
        <f ca="1">INDIRECT($B95&amp;"!"&amp;L$3&amp;"5")</f>
        <v/>
      </c>
      <c r="M95" s="66" t="str">
        <f ca="1">INDIRECT($B95&amp;"!"&amp;M$3&amp;"5")</f>
        <v/>
      </c>
      <c r="N95" s="67" t="e">
        <f ca="1">M95-L95</f>
        <v>#VALUE!</v>
      </c>
      <c r="O95" s="216"/>
      <c r="P95" s="218" t="e">
        <f ca="1">bdRateExtend(D95:D99,L95:L99,H95:H99,M95:M99)</f>
        <v>#VALUE!</v>
      </c>
      <c r="Q95" s="216"/>
      <c r="R95" s="9"/>
      <c r="S95" s="9"/>
      <c r="T95" s="9"/>
      <c r="U95" s="9"/>
      <c r="V95" s="219"/>
      <c r="X95" s="6"/>
      <c r="Y95" s="6"/>
      <c r="Z95" s="56"/>
      <c r="AB95" s="220"/>
    </row>
    <row r="96" spans="2:28" x14ac:dyDescent="0.25">
      <c r="B96" s="86" t="str">
        <f>B95</f>
        <v>Cricket_Player</v>
      </c>
      <c r="C96" s="93" t="s">
        <v>55</v>
      </c>
      <c r="D96" s="217" t="e">
        <f ca="1">0.000001*INDIRECT($B96&amp;"!E6")</f>
        <v>#VALUE!</v>
      </c>
      <c r="E96" s="216"/>
      <c r="F96" s="86" t="str">
        <f>F95</f>
        <v>Cricket_Player</v>
      </c>
      <c r="G96" s="93" t="s">
        <v>55</v>
      </c>
      <c r="H96" s="217" t="e">
        <f ca="1">0.000001*INDIRECT($B96&amp;"!AC6")</f>
        <v>#VALUE!</v>
      </c>
      <c r="I96" s="9"/>
      <c r="J96" s="218" t="e">
        <f ca="1">H96/D96-1</f>
        <v>#VALUE!</v>
      </c>
      <c r="L96" s="65" t="str">
        <f ca="1">INDIRECT($B96&amp;"!"&amp;L$3&amp;"6")</f>
        <v/>
      </c>
      <c r="M96" s="66" t="str">
        <f ca="1">INDIRECT($B96&amp;"!"&amp;M$3&amp;"6")</f>
        <v/>
      </c>
      <c r="N96" s="67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6"/>
    </row>
    <row r="97" spans="2:28" x14ac:dyDescent="0.25">
      <c r="B97" s="86" t="str">
        <f>B96</f>
        <v>Cricket_Player</v>
      </c>
      <c r="C97" s="93" t="s">
        <v>56</v>
      </c>
      <c r="D97" s="217" t="e">
        <f ca="1">0.000001*INDIRECT($B97&amp;"!E7")</f>
        <v>#VALUE!</v>
      </c>
      <c r="E97" s="216"/>
      <c r="F97" s="86" t="str">
        <f>F96</f>
        <v>Cricket_Player</v>
      </c>
      <c r="G97" s="93" t="s">
        <v>56</v>
      </c>
      <c r="H97" s="217" t="e">
        <f ca="1">0.000001*INDIRECT($B97&amp;"!AC7")</f>
        <v>#VALUE!</v>
      </c>
      <c r="I97" s="9"/>
      <c r="J97" s="218" t="e">
        <f ca="1">H97/D97-1</f>
        <v>#VALUE!</v>
      </c>
      <c r="L97" s="65" t="str">
        <f ca="1">INDIRECT($B97&amp;"!"&amp;L$3&amp;"7")</f>
        <v/>
      </c>
      <c r="M97" s="66" t="str">
        <f ca="1">INDIRECT($B97&amp;"!"&amp;M$3&amp;"7")</f>
        <v/>
      </c>
      <c r="N97" s="67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6"/>
    </row>
    <row r="98" spans="2:28" x14ac:dyDescent="0.25">
      <c r="B98" s="86" t="str">
        <f>B97</f>
        <v>Cricket_Player</v>
      </c>
      <c r="C98" s="93" t="s">
        <v>57</v>
      </c>
      <c r="D98" s="217" t="e">
        <f ca="1">0.000001*INDIRECT($B98&amp;"!E8")</f>
        <v>#VALUE!</v>
      </c>
      <c r="E98" s="216"/>
      <c r="F98" s="86" t="str">
        <f>F97</f>
        <v>Cricket_Player</v>
      </c>
      <c r="G98" s="93" t="s">
        <v>57</v>
      </c>
      <c r="H98" s="217" t="e">
        <f ca="1">0.000001*INDIRECT($B98&amp;"!AC8")</f>
        <v>#VALUE!</v>
      </c>
      <c r="I98" s="9"/>
      <c r="J98" s="218" t="e">
        <f ca="1">H98/D98-1</f>
        <v>#VALUE!</v>
      </c>
      <c r="L98" s="65" t="str">
        <f ca="1">INDIRECT($B98&amp;"!"&amp;L$3&amp;"8")</f>
        <v/>
      </c>
      <c r="M98" s="66" t="str">
        <f ca="1">INDIRECT($B98&amp;"!"&amp;M$3&amp;"8")</f>
        <v/>
      </c>
      <c r="N98" s="67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6"/>
    </row>
    <row r="99" spans="2:28" ht="16.5" customHeight="1" thickBot="1" x14ac:dyDescent="0.3">
      <c r="B99" s="86" t="str">
        <f>B98</f>
        <v>Cricket_Player</v>
      </c>
      <c r="C99" s="93" t="s">
        <v>58</v>
      </c>
      <c r="D99" s="217" t="e">
        <f ca="1">0.000001*INDIRECT($B99&amp;"!E9")</f>
        <v>#VALUE!</v>
      </c>
      <c r="E99" s="216"/>
      <c r="F99" s="86" t="str">
        <f>F98</f>
        <v>Cricket_Player</v>
      </c>
      <c r="G99" s="93" t="s">
        <v>58</v>
      </c>
      <c r="H99" s="217" t="e">
        <f ca="1">0.000001*INDIRECT($B99&amp;"!AC9")</f>
        <v>#VALUE!</v>
      </c>
      <c r="I99" s="9"/>
      <c r="J99" s="218" t="e">
        <f ca="1">H99/D99-1</f>
        <v>#VALUE!</v>
      </c>
      <c r="L99" s="65" t="str">
        <f ca="1">INDIRECT($B99&amp;"!"&amp;L$3&amp;"9")</f>
        <v/>
      </c>
      <c r="M99" s="66" t="str">
        <f ca="1">INDIRECT($B99&amp;"!"&amp;M$3&amp;"9")</f>
        <v/>
      </c>
      <c r="N99" s="67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6"/>
      <c r="AB99" s="220"/>
    </row>
    <row r="100" spans="2:28" ht="16.5" customHeight="1" x14ac:dyDescent="0.25">
      <c r="B100" s="80"/>
      <c r="C100" s="81"/>
      <c r="D100" s="222"/>
      <c r="F100" s="80"/>
      <c r="G100" s="81"/>
      <c r="H100" s="222"/>
      <c r="J100" s="69" t="e">
        <f ca="1">MIN(D95:D99,H95:H99)</f>
        <v>#VALUE!</v>
      </c>
      <c r="L100" s="70"/>
      <c r="M100" s="71"/>
      <c r="N100" s="72"/>
      <c r="O100" s="216"/>
      <c r="P100" s="205"/>
      <c r="Q100" s="216"/>
      <c r="R100" s="9"/>
      <c r="S100" s="9"/>
      <c r="T100" s="9"/>
      <c r="U100" s="9"/>
      <c r="V100" s="57"/>
      <c r="X100" s="6"/>
      <c r="Y100" s="6"/>
      <c r="Z100" s="56"/>
    </row>
    <row r="101" spans="2:28" ht="16.5" customHeight="1" thickBot="1" x14ac:dyDescent="0.3">
      <c r="B101" s="62"/>
      <c r="C101" s="63"/>
      <c r="D101" s="223"/>
      <c r="E101" s="216"/>
      <c r="F101" s="62"/>
      <c r="G101" s="63"/>
      <c r="H101" s="223"/>
      <c r="I101" s="9"/>
      <c r="J101" s="73" t="e">
        <f ca="1">MAX(D95:D99,H95:H99)</f>
        <v>#VALUE!</v>
      </c>
      <c r="L101" s="74">
        <f>L100</f>
        <v>0</v>
      </c>
      <c r="M101" s="75">
        <f>M100</f>
        <v>0</v>
      </c>
      <c r="N101" s="68"/>
      <c r="O101" s="216"/>
      <c r="P101" s="5"/>
      <c r="Q101" s="216"/>
      <c r="R101" s="9"/>
      <c r="S101" s="9"/>
      <c r="T101" s="9"/>
      <c r="U101" s="9"/>
      <c r="V101" s="57"/>
      <c r="X101" s="58"/>
      <c r="Y101" s="58"/>
      <c r="Z101" s="56"/>
    </row>
    <row r="102" spans="2:28" ht="16.5" customHeight="1" thickBot="1" x14ac:dyDescent="0.3"/>
    <row r="103" spans="2:28" x14ac:dyDescent="0.25">
      <c r="B103" s="265" t="s">
        <v>30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205"/>
      <c r="L103" s="259" t="str">
        <f>F103</f>
        <v>Tango_Duo</v>
      </c>
      <c r="M103" s="260"/>
      <c r="N103" s="261"/>
      <c r="O103" s="149"/>
      <c r="P103" s="205"/>
      <c r="U103" s="206"/>
      <c r="V103" s="206"/>
      <c r="X103" s="266"/>
      <c r="Y103" s="257"/>
      <c r="Z103" s="257"/>
    </row>
    <row r="104" spans="2:28" x14ac:dyDescent="0.25">
      <c r="B104" s="262" t="s">
        <v>47</v>
      </c>
      <c r="C104" s="257"/>
      <c r="D104" s="61" t="s">
        <v>48</v>
      </c>
      <c r="E104" s="216"/>
      <c r="F104" s="262" t="s">
        <v>47</v>
      </c>
      <c r="G104" s="257"/>
      <c r="H104" s="61" t="s">
        <v>48</v>
      </c>
      <c r="I104" s="9"/>
      <c r="J104" s="203" t="s">
        <v>49</v>
      </c>
      <c r="L104" s="256" t="s">
        <v>61</v>
      </c>
      <c r="M104" s="257"/>
      <c r="N104" s="258"/>
      <c r="O104" s="59"/>
      <c r="P104" s="3"/>
      <c r="R104" s="263"/>
      <c r="S104" s="257"/>
      <c r="T104" s="257"/>
      <c r="U104" s="201"/>
      <c r="V104" s="201"/>
      <c r="X104" s="263"/>
      <c r="Y104" s="257"/>
      <c r="Z104" s="257"/>
    </row>
    <row r="105" spans="2:28" x14ac:dyDescent="0.25">
      <c r="B105" s="145" t="s">
        <v>0</v>
      </c>
      <c r="C105" s="93" t="s">
        <v>51</v>
      </c>
      <c r="D105" s="60" t="s">
        <v>52</v>
      </c>
      <c r="E105" s="216"/>
      <c r="F105" s="145" t="s">
        <v>0</v>
      </c>
      <c r="G105" s="93" t="s">
        <v>51</v>
      </c>
      <c r="H105" s="60" t="s">
        <v>52</v>
      </c>
      <c r="I105" s="9"/>
      <c r="J105" s="64"/>
      <c r="L105" s="146" t="str">
        <f>CONCATENATE(B$2," ",L103)</f>
        <v>MPEG151-octree Tango_Duo</v>
      </c>
      <c r="M105" s="147" t="str">
        <f>CONCATENATE(F$2," ",L103)</f>
        <v>MPEG151-修改上下文 Tango_Duo</v>
      </c>
      <c r="N105" s="148" t="s">
        <v>53</v>
      </c>
      <c r="O105" s="2"/>
      <c r="P105" s="3" t="s">
        <v>44</v>
      </c>
      <c r="Q105" s="2"/>
      <c r="R105" s="2"/>
      <c r="S105" s="2"/>
      <c r="T105" s="2"/>
      <c r="U105" s="2"/>
      <c r="V105" s="2"/>
      <c r="X105" s="149"/>
      <c r="Y105" s="149"/>
      <c r="Z105" s="149"/>
    </row>
    <row r="106" spans="2:28" x14ac:dyDescent="0.25">
      <c r="B106" s="86" t="str">
        <f>B103</f>
        <v>Tango_Duo</v>
      </c>
      <c r="C106" s="93" t="s">
        <v>54</v>
      </c>
      <c r="D106" s="217" t="e">
        <f ca="1">0.000001*INDIRECT($B106&amp;"!E5")</f>
        <v>#VALUE!</v>
      </c>
      <c r="E106" s="216"/>
      <c r="F106" s="86" t="str">
        <f>F103</f>
        <v>Tango_Duo</v>
      </c>
      <c r="G106" s="93" t="s">
        <v>54</v>
      </c>
      <c r="H106" s="217" t="e">
        <f ca="1">0.000001*INDIRECT($B106&amp;"!AC5")</f>
        <v>#VALUE!</v>
      </c>
      <c r="I106" s="9"/>
      <c r="J106" s="218" t="e">
        <f ca="1">H106/D106-1</f>
        <v>#VALUE!</v>
      </c>
      <c r="L106" s="65" t="str">
        <f ca="1">INDIRECT($B106&amp;"!"&amp;L$3&amp;"5")</f>
        <v/>
      </c>
      <c r="M106" s="66" t="str">
        <f ca="1">INDIRECT($B106&amp;"!"&amp;M$3&amp;"5")</f>
        <v/>
      </c>
      <c r="N106" s="67" t="e">
        <f ca="1">M106-L106</f>
        <v>#VALUE!</v>
      </c>
      <c r="O106" s="216"/>
      <c r="P106" s="218" t="e">
        <f ca="1">bdRateExtend(D106:D110,L106:L110,H106:H110,M106:M110)</f>
        <v>#VALUE!</v>
      </c>
      <c r="Q106" s="216"/>
      <c r="R106" s="9"/>
      <c r="S106" s="9"/>
      <c r="T106" s="9"/>
      <c r="U106" s="9"/>
      <c r="V106" s="219"/>
      <c r="X106" s="6"/>
      <c r="Y106" s="6"/>
      <c r="Z106" s="56"/>
      <c r="AB106" s="220"/>
    </row>
    <row r="107" spans="2:28" x14ac:dyDescent="0.25">
      <c r="B107" s="86" t="str">
        <f>B106</f>
        <v>Tango_Duo</v>
      </c>
      <c r="C107" s="93" t="s">
        <v>55</v>
      </c>
      <c r="D107" s="217" t="e">
        <f ca="1">0.000001*INDIRECT($B107&amp;"!E6")</f>
        <v>#VALUE!</v>
      </c>
      <c r="E107" s="216"/>
      <c r="F107" s="86" t="str">
        <f>F106</f>
        <v>Tango_Duo</v>
      </c>
      <c r="G107" s="93" t="s">
        <v>55</v>
      </c>
      <c r="H107" s="217" t="e">
        <f ca="1">0.000001*INDIRECT($B107&amp;"!AC6")</f>
        <v>#VALUE!</v>
      </c>
      <c r="I107" s="9"/>
      <c r="J107" s="218" t="e">
        <f ca="1">H107/D107-1</f>
        <v>#VALUE!</v>
      </c>
      <c r="L107" s="65" t="str">
        <f ca="1">INDIRECT($B107&amp;"!"&amp;L$3&amp;"6")</f>
        <v/>
      </c>
      <c r="M107" s="66" t="str">
        <f ca="1">INDIRECT($B107&amp;"!"&amp;M$3&amp;"6")</f>
        <v/>
      </c>
      <c r="N107" s="67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6"/>
    </row>
    <row r="108" spans="2:28" x14ac:dyDescent="0.25">
      <c r="B108" s="86" t="str">
        <f>B107</f>
        <v>Tango_Duo</v>
      </c>
      <c r="C108" s="93" t="s">
        <v>56</v>
      </c>
      <c r="D108" s="217" t="e">
        <f ca="1">0.000001*INDIRECT($B108&amp;"!E7")</f>
        <v>#VALUE!</v>
      </c>
      <c r="E108" s="216"/>
      <c r="F108" s="86" t="str">
        <f>F107</f>
        <v>Tango_Duo</v>
      </c>
      <c r="G108" s="93" t="s">
        <v>56</v>
      </c>
      <c r="H108" s="217" t="e">
        <f ca="1">0.000001*INDIRECT($B108&amp;"!AC7")</f>
        <v>#VALUE!</v>
      </c>
      <c r="I108" s="9"/>
      <c r="J108" s="218" t="e">
        <f ca="1">H108/D108-1</f>
        <v>#VALUE!</v>
      </c>
      <c r="L108" s="65" t="str">
        <f ca="1">INDIRECT($B108&amp;"!"&amp;L$3&amp;"7")</f>
        <v/>
      </c>
      <c r="M108" s="66" t="str">
        <f ca="1">INDIRECT($B108&amp;"!"&amp;M$3&amp;"7")</f>
        <v/>
      </c>
      <c r="N108" s="67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6"/>
    </row>
    <row r="109" spans="2:28" x14ac:dyDescent="0.25">
      <c r="B109" s="86" t="str">
        <f>B108</f>
        <v>Tango_Duo</v>
      </c>
      <c r="C109" s="93" t="s">
        <v>57</v>
      </c>
      <c r="D109" s="217" t="e">
        <f ca="1">0.000001*INDIRECT($B109&amp;"!E8")</f>
        <v>#VALUE!</v>
      </c>
      <c r="E109" s="216"/>
      <c r="F109" s="86" t="str">
        <f>F108</f>
        <v>Tango_Duo</v>
      </c>
      <c r="G109" s="93" t="s">
        <v>57</v>
      </c>
      <c r="H109" s="217" t="e">
        <f ca="1">0.000001*INDIRECT($B109&amp;"!AC8")</f>
        <v>#VALUE!</v>
      </c>
      <c r="I109" s="9"/>
      <c r="J109" s="218" t="e">
        <f ca="1">H109/D109-1</f>
        <v>#VALUE!</v>
      </c>
      <c r="L109" s="65" t="str">
        <f ca="1">INDIRECT($B109&amp;"!"&amp;L$3&amp;"8")</f>
        <v/>
      </c>
      <c r="M109" s="66" t="str">
        <f ca="1">INDIRECT($B109&amp;"!"&amp;M$3&amp;"8")</f>
        <v/>
      </c>
      <c r="N109" s="67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6"/>
    </row>
    <row r="110" spans="2:28" ht="16.5" customHeight="1" thickBot="1" x14ac:dyDescent="0.3">
      <c r="B110" s="86" t="str">
        <f>B109</f>
        <v>Tango_Duo</v>
      </c>
      <c r="C110" s="93" t="s">
        <v>58</v>
      </c>
      <c r="D110" s="217" t="e">
        <f ca="1">0.000001*INDIRECT($B110&amp;"!E9")</f>
        <v>#VALUE!</v>
      </c>
      <c r="E110" s="216"/>
      <c r="F110" s="86" t="str">
        <f>F109</f>
        <v>Tango_Duo</v>
      </c>
      <c r="G110" s="93" t="s">
        <v>58</v>
      </c>
      <c r="H110" s="217" t="e">
        <f ca="1">0.000001*INDIRECT($B110&amp;"!AC9")</f>
        <v>#VALUE!</v>
      </c>
      <c r="I110" s="9"/>
      <c r="J110" s="218" t="e">
        <f ca="1">H110/D110-1</f>
        <v>#VALUE!</v>
      </c>
      <c r="L110" s="65" t="str">
        <f ca="1">INDIRECT($B110&amp;"!"&amp;L$3&amp;"9")</f>
        <v/>
      </c>
      <c r="M110" s="66" t="str">
        <f ca="1">INDIRECT($B110&amp;"!"&amp;M$3&amp;"9")</f>
        <v/>
      </c>
      <c r="N110" s="67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6"/>
      <c r="AB110" s="220"/>
    </row>
    <row r="111" spans="2:28" ht="16.5" customHeight="1" x14ac:dyDescent="0.25">
      <c r="B111" s="80"/>
      <c r="C111" s="81"/>
      <c r="D111" s="222"/>
      <c r="F111" s="80"/>
      <c r="G111" s="81"/>
      <c r="H111" s="222"/>
      <c r="J111" s="69" t="e">
        <f ca="1">MIN(D106:D110,H106:H110)</f>
        <v>#VALUE!</v>
      </c>
      <c r="L111" s="70"/>
      <c r="M111" s="71"/>
      <c r="N111" s="72"/>
      <c r="O111" s="216"/>
      <c r="P111" s="205"/>
      <c r="Q111" s="216"/>
      <c r="R111" s="9"/>
      <c r="S111" s="9"/>
      <c r="T111" s="9"/>
      <c r="U111" s="9"/>
      <c r="V111" s="57"/>
      <c r="X111" s="6"/>
      <c r="Y111" s="6"/>
      <c r="Z111" s="56"/>
    </row>
    <row r="112" spans="2:28" ht="16.5" customHeight="1" thickBot="1" x14ac:dyDescent="0.3">
      <c r="B112" s="62"/>
      <c r="C112" s="63"/>
      <c r="D112" s="223"/>
      <c r="E112" s="216"/>
      <c r="F112" s="62"/>
      <c r="G112" s="63"/>
      <c r="H112" s="223"/>
      <c r="I112" s="9"/>
      <c r="J112" s="73" t="e">
        <f ca="1">MAX(D106:D110,H106:H110)</f>
        <v>#VALUE!</v>
      </c>
      <c r="L112" s="74">
        <f>L111</f>
        <v>0</v>
      </c>
      <c r="M112" s="75">
        <f>M111</f>
        <v>0</v>
      </c>
      <c r="N112" s="68"/>
      <c r="O112" s="216"/>
      <c r="P112" s="5"/>
      <c r="Q112" s="216"/>
      <c r="R112" s="9"/>
      <c r="S112" s="9"/>
      <c r="T112" s="9"/>
      <c r="U112" s="9"/>
      <c r="V112" s="57"/>
      <c r="X112" s="58"/>
      <c r="Y112" s="58"/>
      <c r="Z112" s="56"/>
    </row>
    <row r="113" spans="2:28" ht="18" customHeight="1" thickBot="1" x14ac:dyDescent="0.3"/>
    <row r="114" spans="2:28" x14ac:dyDescent="0.25">
      <c r="B114" s="265" t="s">
        <v>31</v>
      </c>
      <c r="C114" s="260"/>
      <c r="D114" s="261"/>
      <c r="E114" s="2"/>
      <c r="F114" s="265" t="str">
        <f>B114</f>
        <v>Solo_Tango_Female</v>
      </c>
      <c r="G114" s="260"/>
      <c r="H114" s="261"/>
      <c r="J114" s="205"/>
      <c r="L114" s="259" t="str">
        <f>F114</f>
        <v>Solo_Tango_Female</v>
      </c>
      <c r="M114" s="260"/>
      <c r="N114" s="261"/>
      <c r="O114" s="149"/>
      <c r="P114" s="205"/>
    </row>
    <row r="115" spans="2:28" x14ac:dyDescent="0.25">
      <c r="B115" s="262" t="s">
        <v>47</v>
      </c>
      <c r="C115" s="257"/>
      <c r="D115" s="61" t="s">
        <v>48</v>
      </c>
      <c r="E115" s="216"/>
      <c r="F115" s="262" t="s">
        <v>47</v>
      </c>
      <c r="G115" s="257"/>
      <c r="H115" s="61" t="s">
        <v>48</v>
      </c>
      <c r="J115" s="203" t="s">
        <v>49</v>
      </c>
      <c r="L115" s="256" t="s">
        <v>61</v>
      </c>
      <c r="M115" s="257"/>
      <c r="N115" s="258"/>
      <c r="O115" s="59"/>
      <c r="P115" s="3"/>
    </row>
    <row r="116" spans="2:28" x14ac:dyDescent="0.25">
      <c r="B116" s="145" t="s">
        <v>0</v>
      </c>
      <c r="C116" s="93" t="s">
        <v>51</v>
      </c>
      <c r="D116" s="60" t="s">
        <v>52</v>
      </c>
      <c r="E116" s="216"/>
      <c r="F116" s="145" t="s">
        <v>0</v>
      </c>
      <c r="G116" s="93" t="s">
        <v>51</v>
      </c>
      <c r="H116" s="60" t="s">
        <v>52</v>
      </c>
      <c r="J116" s="64"/>
      <c r="L116" s="146" t="str">
        <f>CONCATENATE(B$2," ",L114)</f>
        <v>MPEG151-octree Solo_Tango_Female</v>
      </c>
      <c r="M116" s="147" t="str">
        <f>CONCATENATE(F$2," ",L114)</f>
        <v>MPEG151-修改上下文 Solo_Tango_Female</v>
      </c>
      <c r="N116" s="148" t="s">
        <v>53</v>
      </c>
      <c r="O116" s="2"/>
      <c r="P116" s="3" t="s">
        <v>44</v>
      </c>
      <c r="AB116" s="220"/>
    </row>
    <row r="117" spans="2:28" x14ac:dyDescent="0.25">
      <c r="B117" s="86" t="str">
        <f>B114</f>
        <v>Solo_Tango_Female</v>
      </c>
      <c r="C117" s="93" t="s">
        <v>54</v>
      </c>
      <c r="D117" s="217" t="e">
        <f ca="1">0.000001*INDIRECT($B117&amp;"!E5")</f>
        <v>#VALUE!</v>
      </c>
      <c r="E117" s="216"/>
      <c r="F117" s="86" t="str">
        <f>F114</f>
        <v>Solo_Tango_Female</v>
      </c>
      <c r="G117" s="93" t="s">
        <v>54</v>
      </c>
      <c r="H117" s="217" t="e">
        <f ca="1">0.000001*INDIRECT($B117&amp;"!AC5")</f>
        <v>#VALUE!</v>
      </c>
      <c r="J117" s="218" t="e">
        <f ca="1">H117/D117-1</f>
        <v>#VALUE!</v>
      </c>
      <c r="L117" s="65" t="str">
        <f ca="1">INDIRECT($B117&amp;"!"&amp;L$3&amp;"5")</f>
        <v/>
      </c>
      <c r="M117" s="66" t="str">
        <f ca="1">INDIRECT($B117&amp;"!"&amp;M$3&amp;"5")</f>
        <v/>
      </c>
      <c r="N117" s="67" t="e">
        <f ca="1">M117-L117</f>
        <v>#VALUE!</v>
      </c>
      <c r="O117" s="216"/>
      <c r="P117" s="218" t="e">
        <f ca="1">bdRateExtend(D117:D121,L117:L121,H117:H121,M117:M121)</f>
        <v>#VALUE!</v>
      </c>
    </row>
    <row r="118" spans="2:28" x14ac:dyDescent="0.25">
      <c r="B118" s="86" t="str">
        <f>B117</f>
        <v>Solo_Tango_Female</v>
      </c>
      <c r="C118" s="93" t="s">
        <v>55</v>
      </c>
      <c r="D118" s="217" t="e">
        <f ca="1">0.000001*INDIRECT($B118&amp;"!E6")</f>
        <v>#VALUE!</v>
      </c>
      <c r="E118" s="216"/>
      <c r="F118" s="86" t="str">
        <f>F117</f>
        <v>Solo_Tango_Female</v>
      </c>
      <c r="G118" s="93" t="s">
        <v>55</v>
      </c>
      <c r="H118" s="217" t="e">
        <f ca="1">0.000001*INDIRECT($B118&amp;"!AC6")</f>
        <v>#VALUE!</v>
      </c>
      <c r="J118" s="218" t="e">
        <f ca="1">H118/D118-1</f>
        <v>#VALUE!</v>
      </c>
      <c r="L118" s="65" t="str">
        <f ca="1">INDIRECT($B118&amp;"!"&amp;L$3&amp;"6")</f>
        <v/>
      </c>
      <c r="M118" s="66" t="str">
        <f ca="1">INDIRECT($B118&amp;"!"&amp;M$3&amp;"6")</f>
        <v/>
      </c>
      <c r="N118" s="67" t="e">
        <f ca="1">M118-L118</f>
        <v>#VALUE!</v>
      </c>
      <c r="O118" s="216"/>
      <c r="P118" s="3"/>
    </row>
    <row r="119" spans="2:28" ht="16.5" customHeight="1" x14ac:dyDescent="0.25">
      <c r="B119" s="86" t="str">
        <f>B118</f>
        <v>Solo_Tango_Female</v>
      </c>
      <c r="C119" s="93" t="s">
        <v>56</v>
      </c>
      <c r="D119" s="217" t="e">
        <f ca="1">0.000001*INDIRECT($B119&amp;"!E7")</f>
        <v>#VALUE!</v>
      </c>
      <c r="E119" s="216"/>
      <c r="F119" s="86" t="str">
        <f>F118</f>
        <v>Solo_Tango_Female</v>
      </c>
      <c r="G119" s="93" t="s">
        <v>56</v>
      </c>
      <c r="H119" s="217" t="e">
        <f ca="1">0.000001*INDIRECT($B119&amp;"!AC7")</f>
        <v>#VALUE!</v>
      </c>
      <c r="J119" s="218" t="e">
        <f ca="1">H119/D119-1</f>
        <v>#VALUE!</v>
      </c>
      <c r="L119" s="65" t="str">
        <f ca="1">INDIRECT($B119&amp;"!"&amp;L$3&amp;"7")</f>
        <v/>
      </c>
      <c r="M119" s="66" t="str">
        <f ca="1">INDIRECT($B119&amp;"!"&amp;M$3&amp;"7")</f>
        <v/>
      </c>
      <c r="N119" s="67" t="e">
        <f ca="1">M119-L119</f>
        <v>#VALUE!</v>
      </c>
      <c r="O119" s="216"/>
      <c r="P119" s="3"/>
      <c r="AB119" s="220"/>
    </row>
    <row r="120" spans="2:28" x14ac:dyDescent="0.25">
      <c r="B120" s="86" t="str">
        <f>B119</f>
        <v>Solo_Tango_Female</v>
      </c>
      <c r="C120" s="93" t="s">
        <v>57</v>
      </c>
      <c r="D120" s="217" t="e">
        <f ca="1">0.000001*INDIRECT($B120&amp;"!E8")</f>
        <v>#VALUE!</v>
      </c>
      <c r="E120" s="216"/>
      <c r="F120" s="86" t="str">
        <f>F119</f>
        <v>Solo_Tango_Female</v>
      </c>
      <c r="G120" s="93" t="s">
        <v>57</v>
      </c>
      <c r="H120" s="217" t="e">
        <f ca="1">0.000001*INDIRECT($B120&amp;"!AC8")</f>
        <v>#VALUE!</v>
      </c>
      <c r="J120" s="218" t="e">
        <f ca="1">H120/D120-1</f>
        <v>#VALUE!</v>
      </c>
      <c r="L120" s="65" t="str">
        <f ca="1">INDIRECT($B120&amp;"!"&amp;L$3&amp;"8")</f>
        <v/>
      </c>
      <c r="M120" s="66" t="str">
        <f ca="1">INDIRECT($B120&amp;"!"&amp;M$3&amp;"8")</f>
        <v/>
      </c>
      <c r="N120" s="67" t="e">
        <f ca="1">M120-L120</f>
        <v>#VALUE!</v>
      </c>
      <c r="O120" s="216"/>
      <c r="P120" s="225"/>
    </row>
    <row r="121" spans="2:28" ht="16.5" customHeight="1" thickBot="1" x14ac:dyDescent="0.3">
      <c r="B121" s="86" t="str">
        <f>B120</f>
        <v>Solo_Tango_Female</v>
      </c>
      <c r="C121" s="93" t="s">
        <v>58</v>
      </c>
      <c r="D121" s="217" t="e">
        <f ca="1">0.000001*INDIRECT($B121&amp;"!E9")</f>
        <v>#VALUE!</v>
      </c>
      <c r="E121" s="216"/>
      <c r="F121" s="86" t="str">
        <f>F120</f>
        <v>Solo_Tango_Female</v>
      </c>
      <c r="G121" s="93" t="s">
        <v>58</v>
      </c>
      <c r="H121" s="217" t="e">
        <f ca="1">0.000001*INDIRECT($B121&amp;"!AC9")</f>
        <v>#VALUE!</v>
      </c>
      <c r="J121" s="218" t="e">
        <f ca="1">H121/D121-1</f>
        <v>#VALUE!</v>
      </c>
      <c r="L121" s="65" t="str">
        <f ca="1">INDIRECT($B121&amp;"!"&amp;L$3&amp;"9")</f>
        <v/>
      </c>
      <c r="M121" s="66" t="str">
        <f ca="1">INDIRECT($B121&amp;"!"&amp;M$3&amp;"9")</f>
        <v/>
      </c>
      <c r="N121" s="67" t="e">
        <f ca="1">M121-L121</f>
        <v>#VALUE!</v>
      </c>
      <c r="O121" s="216"/>
      <c r="P121" s="221"/>
    </row>
    <row r="122" spans="2:28" ht="16.5" customHeight="1" x14ac:dyDescent="0.25">
      <c r="B122" s="80"/>
      <c r="C122" s="81"/>
      <c r="D122" s="222"/>
      <c r="F122" s="80"/>
      <c r="G122" s="81"/>
      <c r="H122" s="222"/>
      <c r="J122" s="69" t="e">
        <f ca="1">MIN(D117:D121,H117:H121)</f>
        <v>#VALUE!</v>
      </c>
      <c r="L122" s="70"/>
      <c r="M122" s="71"/>
      <c r="N122" s="72"/>
      <c r="O122" s="216"/>
      <c r="P122" s="205"/>
    </row>
    <row r="123" spans="2:28" ht="18" customHeight="1" thickBot="1" x14ac:dyDescent="0.3">
      <c r="B123" s="62"/>
      <c r="C123" s="63"/>
      <c r="D123" s="223"/>
      <c r="E123" s="216"/>
      <c r="F123" s="62"/>
      <c r="G123" s="63"/>
      <c r="H123" s="223"/>
      <c r="J123" s="73" t="e">
        <f ca="1">MAX(D117:D121,H117:H121)</f>
        <v>#VALUE!</v>
      </c>
      <c r="L123" s="74">
        <f>L122</f>
        <v>0</v>
      </c>
      <c r="M123" s="75">
        <f>M122</f>
        <v>0</v>
      </c>
      <c r="N123" s="68"/>
      <c r="O123" s="216"/>
      <c r="P123" s="5"/>
    </row>
    <row r="124" spans="2:28" ht="18" customHeight="1" thickBot="1" x14ac:dyDescent="0.3"/>
    <row r="125" spans="2:28" x14ac:dyDescent="0.25">
      <c r="B125" s="265" t="s">
        <v>32</v>
      </c>
      <c r="C125" s="260"/>
      <c r="D125" s="261"/>
      <c r="E125" s="2"/>
      <c r="F125" s="265" t="str">
        <f>B125</f>
        <v>Solo_Tango_Male</v>
      </c>
      <c r="G125" s="260"/>
      <c r="H125" s="261"/>
      <c r="J125" s="205"/>
      <c r="L125" s="259" t="str">
        <f>F125</f>
        <v>Solo_Tango_Male</v>
      </c>
      <c r="M125" s="260"/>
      <c r="N125" s="261"/>
      <c r="O125" s="149"/>
      <c r="P125" s="205"/>
    </row>
    <row r="126" spans="2:28" x14ac:dyDescent="0.25">
      <c r="B126" s="262" t="s">
        <v>47</v>
      </c>
      <c r="C126" s="257"/>
      <c r="D126" s="61" t="s">
        <v>48</v>
      </c>
      <c r="E126" s="216"/>
      <c r="F126" s="262" t="s">
        <v>47</v>
      </c>
      <c r="G126" s="257"/>
      <c r="H126" s="61" t="s">
        <v>48</v>
      </c>
      <c r="J126" s="203" t="s">
        <v>49</v>
      </c>
      <c r="L126" s="256" t="s">
        <v>61</v>
      </c>
      <c r="M126" s="257"/>
      <c r="N126" s="258"/>
      <c r="O126" s="59"/>
      <c r="P126" s="3"/>
      <c r="AB126" s="220"/>
    </row>
    <row r="127" spans="2:28" x14ac:dyDescent="0.25">
      <c r="B127" s="145" t="s">
        <v>0</v>
      </c>
      <c r="C127" s="93" t="s">
        <v>51</v>
      </c>
      <c r="D127" s="60" t="s">
        <v>52</v>
      </c>
      <c r="E127" s="216"/>
      <c r="F127" s="145" t="s">
        <v>0</v>
      </c>
      <c r="G127" s="93" t="s">
        <v>51</v>
      </c>
      <c r="H127" s="60" t="s">
        <v>52</v>
      </c>
      <c r="J127" s="64"/>
      <c r="L127" s="146" t="str">
        <f>CONCATENATE(B$2," ",L125)</f>
        <v>MPEG151-octree Solo_Tango_Male</v>
      </c>
      <c r="M127" s="147" t="str">
        <f>CONCATENATE(F$2," ",L125)</f>
        <v>MPEG151-修改上下文 Solo_Tango_Male</v>
      </c>
      <c r="N127" s="148" t="s">
        <v>53</v>
      </c>
      <c r="O127" s="2"/>
      <c r="P127" s="3" t="s">
        <v>44</v>
      </c>
    </row>
    <row r="128" spans="2:28" x14ac:dyDescent="0.25">
      <c r="B128" s="86" t="str">
        <f>B125</f>
        <v>Solo_Tango_Male</v>
      </c>
      <c r="C128" s="93" t="s">
        <v>54</v>
      </c>
      <c r="D128" s="217" t="e">
        <f ca="1">0.000001*INDIRECT($B128&amp;"!E5")</f>
        <v>#VALUE!</v>
      </c>
      <c r="E128" s="216"/>
      <c r="F128" s="86" t="str">
        <f>F125</f>
        <v>Solo_Tango_Male</v>
      </c>
      <c r="G128" s="93" t="s">
        <v>54</v>
      </c>
      <c r="H128" s="217" t="e">
        <f ca="1">0.000001*INDIRECT($B128&amp;"!AC5")</f>
        <v>#VALUE!</v>
      </c>
      <c r="J128" s="218" t="e">
        <f ca="1">H128/D128-1</f>
        <v>#VALUE!</v>
      </c>
      <c r="L128" s="65" t="str">
        <f ca="1">INDIRECT($B128&amp;"!"&amp;L$3&amp;"5")</f>
        <v/>
      </c>
      <c r="M128" s="66" t="str">
        <f ca="1">INDIRECT($B128&amp;"!"&amp;M$3&amp;"5")</f>
        <v/>
      </c>
      <c r="N128" s="67" t="e">
        <f ca="1">M128-L128</f>
        <v>#VALUE!</v>
      </c>
      <c r="O128" s="216"/>
      <c r="P128" s="218" t="e">
        <f ca="1">bdRateExtend(D128:D132,L128:L132,H128:H132,M128:M132)</f>
        <v>#VALUE!</v>
      </c>
    </row>
    <row r="129" spans="2:28" ht="16.5" customHeight="1" x14ac:dyDescent="0.25">
      <c r="B129" s="86" t="str">
        <f>B128</f>
        <v>Solo_Tango_Male</v>
      </c>
      <c r="C129" s="93" t="s">
        <v>55</v>
      </c>
      <c r="D129" s="217" t="e">
        <f ca="1">0.000001*INDIRECT($B129&amp;"!E6")</f>
        <v>#VALUE!</v>
      </c>
      <c r="E129" s="216"/>
      <c r="F129" s="86" t="str">
        <f>F128</f>
        <v>Solo_Tango_Male</v>
      </c>
      <c r="G129" s="93" t="s">
        <v>55</v>
      </c>
      <c r="H129" s="217" t="e">
        <f ca="1">0.000001*INDIRECT($B129&amp;"!AC6")</f>
        <v>#VALUE!</v>
      </c>
      <c r="J129" s="218" t="e">
        <f ca="1">H129/D129-1</f>
        <v>#VALUE!</v>
      </c>
      <c r="L129" s="65" t="str">
        <f ca="1">INDIRECT($B129&amp;"!"&amp;L$3&amp;"6")</f>
        <v/>
      </c>
      <c r="M129" s="66" t="str">
        <f ca="1">INDIRECT($B129&amp;"!"&amp;M$3&amp;"6")</f>
        <v/>
      </c>
      <c r="N129" s="67" t="e">
        <f ca="1">M129-L129</f>
        <v>#VALUE!</v>
      </c>
      <c r="O129" s="216"/>
      <c r="P129" s="3"/>
      <c r="AB129" s="220"/>
    </row>
    <row r="130" spans="2:28" x14ac:dyDescent="0.25">
      <c r="B130" s="86" t="str">
        <f>B129</f>
        <v>Solo_Tango_Male</v>
      </c>
      <c r="C130" s="93" t="s">
        <v>56</v>
      </c>
      <c r="D130" s="217" t="e">
        <f ca="1">0.000001*INDIRECT($B130&amp;"!E7")</f>
        <v>#VALUE!</v>
      </c>
      <c r="E130" s="216"/>
      <c r="F130" s="86" t="str">
        <f>F129</f>
        <v>Solo_Tango_Male</v>
      </c>
      <c r="G130" s="93" t="s">
        <v>56</v>
      </c>
      <c r="H130" s="217" t="e">
        <f ca="1">0.000001*INDIRECT($B130&amp;"!AC7")</f>
        <v>#VALUE!</v>
      </c>
      <c r="J130" s="218" t="e">
        <f ca="1">H130/D130-1</f>
        <v>#VALUE!</v>
      </c>
      <c r="L130" s="65" t="str">
        <f ca="1">INDIRECT($B130&amp;"!"&amp;L$3&amp;"7")</f>
        <v/>
      </c>
      <c r="M130" s="66" t="str">
        <f ca="1">INDIRECT($B130&amp;"!"&amp;M$3&amp;"7")</f>
        <v/>
      </c>
      <c r="N130" s="67" t="e">
        <f ca="1">M130-L130</f>
        <v>#VALUE!</v>
      </c>
      <c r="O130" s="216"/>
      <c r="P130" s="3"/>
    </row>
    <row r="131" spans="2:28" ht="16.5" customHeight="1" x14ac:dyDescent="0.25">
      <c r="B131" s="86" t="str">
        <f>B130</f>
        <v>Solo_Tango_Male</v>
      </c>
      <c r="C131" s="93" t="s">
        <v>57</v>
      </c>
      <c r="D131" s="217" t="e">
        <f ca="1">0.000001*INDIRECT($B131&amp;"!E8")</f>
        <v>#VALUE!</v>
      </c>
      <c r="E131" s="216"/>
      <c r="F131" s="86" t="str">
        <f>F130</f>
        <v>Solo_Tango_Male</v>
      </c>
      <c r="G131" s="93" t="s">
        <v>57</v>
      </c>
      <c r="H131" s="217" t="e">
        <f ca="1">0.000001*INDIRECT($B131&amp;"!AC8")</f>
        <v>#VALUE!</v>
      </c>
      <c r="J131" s="218" t="e">
        <f ca="1">H131/D131-1</f>
        <v>#VALUE!</v>
      </c>
      <c r="L131" s="65" t="str">
        <f ca="1">INDIRECT($B131&amp;"!"&amp;L$3&amp;"8")</f>
        <v/>
      </c>
      <c r="M131" s="66" t="str">
        <f ca="1">INDIRECT($B131&amp;"!"&amp;M$3&amp;"8")</f>
        <v/>
      </c>
      <c r="N131" s="67" t="e">
        <f ca="1">M131-L131</f>
        <v>#VALUE!</v>
      </c>
      <c r="O131" s="216"/>
      <c r="P131" s="225"/>
    </row>
    <row r="132" spans="2:28" ht="16.5" customHeight="1" thickBot="1" x14ac:dyDescent="0.3">
      <c r="B132" s="86" t="str">
        <f>B131</f>
        <v>Solo_Tango_Male</v>
      </c>
      <c r="C132" s="93" t="s">
        <v>58</v>
      </c>
      <c r="D132" s="217" t="e">
        <f ca="1">0.000001*INDIRECT($B132&amp;"!E9")</f>
        <v>#VALUE!</v>
      </c>
      <c r="E132" s="216"/>
      <c r="F132" s="86" t="str">
        <f>F131</f>
        <v>Solo_Tango_Male</v>
      </c>
      <c r="G132" s="93" t="s">
        <v>58</v>
      </c>
      <c r="H132" s="217" t="e">
        <f ca="1">0.000001*INDIRECT($B132&amp;"!AC9")</f>
        <v>#VALUE!</v>
      </c>
      <c r="J132" s="218" t="e">
        <f ca="1">H132/D132-1</f>
        <v>#VALUE!</v>
      </c>
      <c r="L132" s="65" t="str">
        <f ca="1">INDIRECT($B132&amp;"!"&amp;L$3&amp;"9")</f>
        <v/>
      </c>
      <c r="M132" s="66" t="str">
        <f ca="1">INDIRECT($B132&amp;"!"&amp;M$3&amp;"9")</f>
        <v/>
      </c>
      <c r="N132" s="67" t="e">
        <f ca="1">M132-L132</f>
        <v>#VALUE!</v>
      </c>
      <c r="O132" s="216"/>
      <c r="P132" s="221"/>
    </row>
    <row r="133" spans="2:28" x14ac:dyDescent="0.25">
      <c r="B133" s="80"/>
      <c r="C133" s="81"/>
      <c r="D133" s="222"/>
      <c r="F133" s="80"/>
      <c r="G133" s="81"/>
      <c r="H133" s="222"/>
      <c r="J133" s="69" t="e">
        <f ca="1">MIN(D128:D132,H128:H132)</f>
        <v>#VALUE!</v>
      </c>
      <c r="L133" s="70"/>
      <c r="M133" s="71"/>
      <c r="N133" s="72"/>
      <c r="O133" s="216"/>
      <c r="P133" s="205"/>
    </row>
    <row r="134" spans="2:28" ht="18" customHeight="1" thickBot="1" x14ac:dyDescent="0.3">
      <c r="B134" s="62"/>
      <c r="C134" s="63"/>
      <c r="D134" s="223"/>
      <c r="E134" s="216"/>
      <c r="F134" s="62"/>
      <c r="G134" s="63"/>
      <c r="H134" s="223"/>
      <c r="J134" s="73" t="e">
        <f ca="1">MAX(D128:D132,H128:H132)</f>
        <v>#VALUE!</v>
      </c>
      <c r="L134" s="74">
        <f>L133</f>
        <v>0</v>
      </c>
      <c r="M134" s="75">
        <f>M133</f>
        <v>0</v>
      </c>
      <c r="N134" s="68"/>
      <c r="O134" s="216"/>
      <c r="P134" s="5"/>
    </row>
    <row r="135" spans="2:28" ht="18" customHeight="1" thickBot="1" x14ac:dyDescent="0.3">
      <c r="J135" s="73" t="e">
        <f ca="1">MAX(D129:D133,H129:H133)</f>
        <v>#VALUE!</v>
      </c>
      <c r="L135" s="74">
        <f>L134</f>
        <v>0</v>
      </c>
      <c r="M135" s="75">
        <f>M134</f>
        <v>0</v>
      </c>
      <c r="N135" s="68"/>
      <c r="O135" s="216"/>
      <c r="P135" s="5"/>
    </row>
    <row r="136" spans="2:28" x14ac:dyDescent="0.25">
      <c r="B136" s="265" t="s">
        <v>33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205"/>
      <c r="L136" s="259" t="str">
        <f>F136</f>
        <v>BlueBackpack_UVGgs_0100</v>
      </c>
      <c r="M136" s="260"/>
      <c r="N136" s="261"/>
      <c r="O136" s="149"/>
      <c r="P136" s="205"/>
      <c r="AB136" s="220"/>
    </row>
    <row r="137" spans="2:28" x14ac:dyDescent="0.25">
      <c r="B137" s="262" t="s">
        <v>47</v>
      </c>
      <c r="C137" s="257"/>
      <c r="D137" s="61" t="s">
        <v>48</v>
      </c>
      <c r="E137" s="216"/>
      <c r="F137" s="262" t="s">
        <v>47</v>
      </c>
      <c r="G137" s="257"/>
      <c r="H137" s="61" t="s">
        <v>48</v>
      </c>
      <c r="J137" s="203" t="s">
        <v>49</v>
      </c>
      <c r="L137" s="256" t="s">
        <v>61</v>
      </c>
      <c r="M137" s="257"/>
      <c r="N137" s="258"/>
      <c r="O137" s="59"/>
      <c r="P137" s="3"/>
    </row>
    <row r="138" spans="2:28" x14ac:dyDescent="0.25">
      <c r="B138" s="145" t="s">
        <v>0</v>
      </c>
      <c r="C138" s="93" t="s">
        <v>51</v>
      </c>
      <c r="D138" s="60" t="s">
        <v>52</v>
      </c>
      <c r="E138" s="216"/>
      <c r="F138" s="145" t="s">
        <v>0</v>
      </c>
      <c r="G138" s="93" t="s">
        <v>51</v>
      </c>
      <c r="H138" s="60" t="s">
        <v>52</v>
      </c>
      <c r="J138" s="64"/>
      <c r="L138" s="146" t="str">
        <f>CONCATENATE(B$2," ",L136)</f>
        <v>MPEG151-octree BlueBackpack_UVGgs_0100</v>
      </c>
      <c r="M138" s="147" t="str">
        <f>CONCATENATE(F$2," ",L136)</f>
        <v>MPEG151-修改上下文 BlueBackpack_UVGgs_0100</v>
      </c>
      <c r="N138" s="148" t="s">
        <v>53</v>
      </c>
      <c r="O138" s="2"/>
      <c r="P138" s="3" t="s">
        <v>44</v>
      </c>
    </row>
    <row r="139" spans="2:28" ht="16.5" customHeight="1" x14ac:dyDescent="0.25">
      <c r="B139" s="86" t="str">
        <f>B136</f>
        <v>BlueBackpack_UVGgs_0100</v>
      </c>
      <c r="C139" s="93" t="s">
        <v>54</v>
      </c>
      <c r="D139" s="217" t="e">
        <f ca="1">0.000001*INDIRECT($B139&amp;"!E5")</f>
        <v>#VALUE!</v>
      </c>
      <c r="E139" s="216"/>
      <c r="F139" s="86" t="str">
        <f>F136</f>
        <v>BlueBackpack_UVGgs_0100</v>
      </c>
      <c r="G139" s="93" t="s">
        <v>54</v>
      </c>
      <c r="H139" s="217" t="e">
        <f ca="1">0.000001*INDIRECT($B139&amp;"!AC5")</f>
        <v>#VALUE!</v>
      </c>
      <c r="J139" s="218" t="e">
        <f ca="1">H139/D139-1</f>
        <v>#VALUE!</v>
      </c>
      <c r="L139" s="65" t="str">
        <f ca="1">INDIRECT($B139&amp;"!"&amp;L$3&amp;"5")</f>
        <v/>
      </c>
      <c r="M139" s="66" t="str">
        <f ca="1">INDIRECT($B139&amp;"!"&amp;M$3&amp;"5")</f>
        <v/>
      </c>
      <c r="N139" s="67" t="e">
        <f ca="1">M139-L139</f>
        <v>#VALUE!</v>
      </c>
      <c r="O139" s="216"/>
      <c r="P139" s="218" t="e">
        <f ca="1">bdRateExtend(D139:D143,L139:L143,H139:H143,M139:M143)</f>
        <v>#VALUE!</v>
      </c>
      <c r="AB139" s="220"/>
    </row>
    <row r="140" spans="2:28" x14ac:dyDescent="0.25">
      <c r="B140" s="86" t="str">
        <f>B139</f>
        <v>BlueBackpack_UVGgs_0100</v>
      </c>
      <c r="C140" s="93" t="s">
        <v>55</v>
      </c>
      <c r="D140" s="217" t="e">
        <f ca="1">0.000001*INDIRECT($B140&amp;"!E6")</f>
        <v>#VALUE!</v>
      </c>
      <c r="E140" s="216"/>
      <c r="F140" s="86" t="str">
        <f>F139</f>
        <v>BlueBackpack_UVGgs_0100</v>
      </c>
      <c r="G140" s="93" t="s">
        <v>55</v>
      </c>
      <c r="H140" s="217" t="e">
        <f ca="1">0.000001*INDIRECT($B140&amp;"!AC6")</f>
        <v>#VALUE!</v>
      </c>
      <c r="J140" s="218" t="e">
        <f ca="1">H140/D140-1</f>
        <v>#VALUE!</v>
      </c>
      <c r="L140" s="65" t="str">
        <f ca="1">INDIRECT($B140&amp;"!"&amp;L$3&amp;"6")</f>
        <v/>
      </c>
      <c r="M140" s="66" t="str">
        <f ca="1">INDIRECT($B140&amp;"!"&amp;M$3&amp;"6")</f>
        <v/>
      </c>
      <c r="N140" s="67" t="e">
        <f ca="1">M140-L140</f>
        <v>#VALUE!</v>
      </c>
      <c r="O140" s="216"/>
      <c r="P140" s="3"/>
    </row>
    <row r="141" spans="2:28" ht="16.5" customHeight="1" x14ac:dyDescent="0.25">
      <c r="B141" s="86" t="str">
        <f>B140</f>
        <v>BlueBackpack_UVGgs_0100</v>
      </c>
      <c r="C141" s="93" t="s">
        <v>56</v>
      </c>
      <c r="D141" s="217" t="e">
        <f ca="1">0.000001*INDIRECT($B141&amp;"!E7")</f>
        <v>#VALUE!</v>
      </c>
      <c r="E141" s="216"/>
      <c r="F141" s="86" t="str">
        <f>F140</f>
        <v>BlueBackpack_UVGgs_0100</v>
      </c>
      <c r="G141" s="93" t="s">
        <v>56</v>
      </c>
      <c r="H141" s="217" t="e">
        <f ca="1">0.000001*INDIRECT($B141&amp;"!AC7")</f>
        <v>#VALUE!</v>
      </c>
      <c r="J141" s="218" t="e">
        <f ca="1">H141/D141-1</f>
        <v>#VALUE!</v>
      </c>
      <c r="L141" s="65" t="str">
        <f ca="1">INDIRECT($B141&amp;"!"&amp;L$3&amp;"7")</f>
        <v/>
      </c>
      <c r="M141" s="66" t="str">
        <f ca="1">INDIRECT($B141&amp;"!"&amp;M$3&amp;"7")</f>
        <v/>
      </c>
      <c r="N141" s="67" t="e">
        <f ca="1">M141-L141</f>
        <v>#VALUE!</v>
      </c>
      <c r="O141" s="216"/>
      <c r="P141" s="3"/>
    </row>
    <row r="142" spans="2:28" ht="16.5" customHeight="1" x14ac:dyDescent="0.25">
      <c r="B142" s="86" t="str">
        <f>B141</f>
        <v>BlueBackpack_UVGgs_0100</v>
      </c>
      <c r="C142" s="93" t="s">
        <v>57</v>
      </c>
      <c r="D142" s="217" t="e">
        <f ca="1">0.000001*INDIRECT($B142&amp;"!E8")</f>
        <v>#VALUE!</v>
      </c>
      <c r="E142" s="216"/>
      <c r="F142" s="86" t="str">
        <f>F141</f>
        <v>BlueBackpack_UVGgs_0100</v>
      </c>
      <c r="G142" s="93" t="s">
        <v>57</v>
      </c>
      <c r="H142" s="217" t="e">
        <f ca="1">0.000001*INDIRECT($B142&amp;"!AC8")</f>
        <v>#VALUE!</v>
      </c>
      <c r="J142" s="218" t="e">
        <f ca="1">H142/D142-1</f>
        <v>#VALUE!</v>
      </c>
      <c r="L142" s="65" t="str">
        <f ca="1">INDIRECT($B142&amp;"!"&amp;L$3&amp;"8")</f>
        <v/>
      </c>
      <c r="M142" s="66" t="str">
        <f ca="1">INDIRECT($B142&amp;"!"&amp;M$3&amp;"8")</f>
        <v/>
      </c>
      <c r="N142" s="67" t="e">
        <f ca="1">M142-L142</f>
        <v>#VALUE!</v>
      </c>
      <c r="O142" s="216"/>
      <c r="P142" s="225"/>
    </row>
    <row r="143" spans="2:28" ht="18" customHeight="1" thickBot="1" x14ac:dyDescent="0.3">
      <c r="B143" s="86" t="str">
        <f>B142</f>
        <v>BlueBackpack_UVGgs_0100</v>
      </c>
      <c r="C143" s="93" t="s">
        <v>58</v>
      </c>
      <c r="D143" s="217" t="e">
        <f ca="1">0.000001*INDIRECT($B143&amp;"!E9")</f>
        <v>#VALUE!</v>
      </c>
      <c r="E143" s="216"/>
      <c r="F143" s="86" t="str">
        <f>F142</f>
        <v>BlueBackpack_UVGgs_0100</v>
      </c>
      <c r="G143" s="93" t="s">
        <v>58</v>
      </c>
      <c r="H143" s="217" t="e">
        <f ca="1">0.000001*INDIRECT($B143&amp;"!AC9")</f>
        <v>#VALUE!</v>
      </c>
      <c r="J143" s="218" t="e">
        <f ca="1">H143/D143-1</f>
        <v>#VALUE!</v>
      </c>
      <c r="L143" s="65" t="str">
        <f ca="1">INDIRECT($B143&amp;"!"&amp;L$3&amp;"9")</f>
        <v/>
      </c>
      <c r="M143" s="66" t="str">
        <f ca="1">INDIRECT($B143&amp;"!"&amp;M$3&amp;"9")</f>
        <v/>
      </c>
      <c r="N143" s="67" t="e">
        <f ca="1">M143-L143</f>
        <v>#VALUE!</v>
      </c>
      <c r="O143" s="216"/>
      <c r="P143" s="221"/>
    </row>
    <row r="144" spans="2:28" x14ac:dyDescent="0.25">
      <c r="B144" s="80"/>
      <c r="C144" s="81"/>
      <c r="D144" s="222"/>
      <c r="F144" s="80"/>
      <c r="G144" s="81"/>
      <c r="H144" s="222"/>
      <c r="J144" s="69" t="e">
        <f ca="1">MIN(D139:D143,H139:H143)</f>
        <v>#VALUE!</v>
      </c>
      <c r="L144" s="70"/>
      <c r="M144" s="71"/>
      <c r="N144" s="72"/>
      <c r="O144" s="216"/>
      <c r="P144" s="205"/>
    </row>
    <row r="145" spans="2:28" ht="18" customHeight="1" thickBot="1" x14ac:dyDescent="0.3">
      <c r="B145" s="62"/>
      <c r="C145" s="63"/>
      <c r="D145" s="223"/>
      <c r="E145" s="216"/>
      <c r="F145" s="62"/>
      <c r="G145" s="63"/>
      <c r="H145" s="223"/>
      <c r="J145" s="73" t="e">
        <f ca="1">MAX(D139:D143,H139:H143)</f>
        <v>#VALUE!</v>
      </c>
      <c r="L145" s="74">
        <f>L144</f>
        <v>0</v>
      </c>
      <c r="M145" s="75">
        <f>M144</f>
        <v>0</v>
      </c>
      <c r="N145" s="68"/>
      <c r="O145" s="216"/>
      <c r="P145" s="5"/>
    </row>
    <row r="146" spans="2:28" ht="18" customHeight="1" thickBot="1" x14ac:dyDescent="0.3">
      <c r="B146" s="83"/>
      <c r="C146" s="83"/>
      <c r="D146" s="224"/>
      <c r="E146" s="216"/>
      <c r="F146" s="83"/>
      <c r="G146" s="83"/>
      <c r="H146" s="224"/>
      <c r="AB146" s="220"/>
    </row>
    <row r="147" spans="2:28" x14ac:dyDescent="0.25">
      <c r="B147" s="265" t="s">
        <v>34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205"/>
      <c r="L147" s="259" t="str">
        <f>F147</f>
        <v>BlueBackpack_UVGgs_0200</v>
      </c>
      <c r="M147" s="260"/>
      <c r="N147" s="261"/>
      <c r="O147" s="149"/>
      <c r="P147" s="205"/>
    </row>
    <row r="148" spans="2:28" x14ac:dyDescent="0.25">
      <c r="B148" s="262" t="s">
        <v>47</v>
      </c>
      <c r="C148" s="257"/>
      <c r="D148" s="61" t="s">
        <v>48</v>
      </c>
      <c r="E148" s="216"/>
      <c r="F148" s="262" t="s">
        <v>47</v>
      </c>
      <c r="G148" s="257"/>
      <c r="H148" s="61" t="s">
        <v>48</v>
      </c>
      <c r="J148" s="203" t="s">
        <v>49</v>
      </c>
      <c r="L148" s="256" t="s">
        <v>61</v>
      </c>
      <c r="M148" s="257"/>
      <c r="N148" s="258"/>
      <c r="O148" s="59"/>
      <c r="P148" s="3"/>
    </row>
    <row r="149" spans="2:28" ht="16.5" customHeight="1" x14ac:dyDescent="0.25">
      <c r="B149" s="145" t="s">
        <v>0</v>
      </c>
      <c r="C149" s="93" t="s">
        <v>51</v>
      </c>
      <c r="D149" s="60" t="s">
        <v>52</v>
      </c>
      <c r="E149" s="216"/>
      <c r="F149" s="145" t="s">
        <v>0</v>
      </c>
      <c r="G149" s="93" t="s">
        <v>51</v>
      </c>
      <c r="H149" s="60" t="s">
        <v>52</v>
      </c>
      <c r="J149" s="64"/>
      <c r="L149" s="146" t="str">
        <f>CONCATENATE(B$2," ",L147)</f>
        <v>MPEG151-octree BlueBackpack_UVGgs_0200</v>
      </c>
      <c r="M149" s="147" t="str">
        <f>CONCATENATE(F$2," ",L147)</f>
        <v>MPEG151-修改上下文 BlueBackpack_UVGgs_0200</v>
      </c>
      <c r="N149" s="148" t="s">
        <v>53</v>
      </c>
      <c r="O149" s="2"/>
      <c r="P149" s="3" t="s">
        <v>44</v>
      </c>
      <c r="AB149" s="220"/>
    </row>
    <row r="150" spans="2:28" x14ac:dyDescent="0.25">
      <c r="B150" s="86" t="str">
        <f>B147</f>
        <v>BlueBackpack_UVGgs_0200</v>
      </c>
      <c r="C150" s="93" t="s">
        <v>54</v>
      </c>
      <c r="D150" s="217" t="e">
        <f ca="1">0.000001*INDIRECT($B150&amp;"!E5")</f>
        <v>#VALUE!</v>
      </c>
      <c r="E150" s="216"/>
      <c r="F150" s="86" t="str">
        <f>F147</f>
        <v>BlueBackpack_UVGgs_0200</v>
      </c>
      <c r="G150" s="93" t="s">
        <v>54</v>
      </c>
      <c r="H150" s="217" t="e">
        <f ca="1">0.000001*INDIRECT($B150&amp;"!AC5")</f>
        <v>#VALUE!</v>
      </c>
      <c r="J150" s="218" t="e">
        <f ca="1">H150/D150-1</f>
        <v>#VALUE!</v>
      </c>
      <c r="L150" s="65" t="str">
        <f ca="1">INDIRECT($B150&amp;"!"&amp;L$3&amp;"5")</f>
        <v/>
      </c>
      <c r="M150" s="66" t="str">
        <f ca="1">INDIRECT($B150&amp;"!"&amp;M$3&amp;"5")</f>
        <v/>
      </c>
      <c r="N150" s="67" t="e">
        <f ca="1">M150-L150</f>
        <v>#VALUE!</v>
      </c>
      <c r="O150" s="216"/>
      <c r="P150" s="218" t="e">
        <f ca="1">bdRateExtend(D150:D154,L150:L154,H150:H154,M150:M154)</f>
        <v>#VALUE!</v>
      </c>
    </row>
    <row r="151" spans="2:28" ht="16.5" customHeight="1" x14ac:dyDescent="0.25">
      <c r="B151" s="86" t="str">
        <f>B150</f>
        <v>BlueBackpack_UVGgs_0200</v>
      </c>
      <c r="C151" s="93" t="s">
        <v>55</v>
      </c>
      <c r="D151" s="217" t="e">
        <f ca="1">0.000001*INDIRECT($B151&amp;"!E6")</f>
        <v>#VALUE!</v>
      </c>
      <c r="E151" s="216"/>
      <c r="F151" s="86" t="str">
        <f>F150</f>
        <v>BlueBackpack_UVGgs_0200</v>
      </c>
      <c r="G151" s="93" t="s">
        <v>55</v>
      </c>
      <c r="H151" s="217" t="e">
        <f ca="1">0.000001*INDIRECT($B151&amp;"!AC6")</f>
        <v>#VALUE!</v>
      </c>
      <c r="J151" s="218" t="e">
        <f ca="1">H151/D151-1</f>
        <v>#VALUE!</v>
      </c>
      <c r="L151" s="65" t="str">
        <f ca="1">INDIRECT($B151&amp;"!"&amp;L$3&amp;"6")</f>
        <v/>
      </c>
      <c r="M151" s="66" t="str">
        <f ca="1">INDIRECT($B151&amp;"!"&amp;M$3&amp;"6")</f>
        <v/>
      </c>
      <c r="N151" s="67" t="e">
        <f ca="1">M151-L151</f>
        <v>#VALUE!</v>
      </c>
      <c r="O151" s="216"/>
      <c r="P151" s="3"/>
    </row>
    <row r="152" spans="2:28" ht="16.5" customHeight="1" x14ac:dyDescent="0.25">
      <c r="B152" s="86" t="str">
        <f>B151</f>
        <v>BlueBackpack_UVGgs_0200</v>
      </c>
      <c r="C152" s="93" t="s">
        <v>56</v>
      </c>
      <c r="D152" s="217" t="e">
        <f ca="1">0.000001*INDIRECT($B152&amp;"!E7")</f>
        <v>#VALUE!</v>
      </c>
      <c r="E152" s="216"/>
      <c r="F152" s="86" t="str">
        <f>F151</f>
        <v>BlueBackpack_UVGgs_0200</v>
      </c>
      <c r="G152" s="93" t="s">
        <v>56</v>
      </c>
      <c r="H152" s="217" t="e">
        <f ca="1">0.000001*INDIRECT($B152&amp;"!AC7")</f>
        <v>#VALUE!</v>
      </c>
      <c r="J152" s="218" t="e">
        <f ca="1">H152/D152-1</f>
        <v>#VALUE!</v>
      </c>
      <c r="L152" s="65" t="str">
        <f ca="1">INDIRECT($B152&amp;"!"&amp;L$3&amp;"7")</f>
        <v/>
      </c>
      <c r="M152" s="66" t="str">
        <f ca="1">INDIRECT($B152&amp;"!"&amp;M$3&amp;"7")</f>
        <v/>
      </c>
      <c r="N152" s="67" t="e">
        <f ca="1">M152-L152</f>
        <v>#VALUE!</v>
      </c>
      <c r="O152" s="216"/>
      <c r="P152" s="3"/>
    </row>
    <row r="153" spans="2:28" x14ac:dyDescent="0.25">
      <c r="B153" s="86" t="str">
        <f>B152</f>
        <v>BlueBackpack_UVGgs_0200</v>
      </c>
      <c r="C153" s="93" t="s">
        <v>57</v>
      </c>
      <c r="D153" s="217" t="e">
        <f ca="1">0.000001*INDIRECT($B153&amp;"!E8")</f>
        <v>#VALUE!</v>
      </c>
      <c r="E153" s="216"/>
      <c r="F153" s="86" t="str">
        <f>F152</f>
        <v>BlueBackpack_UVGgs_0200</v>
      </c>
      <c r="G153" s="93" t="s">
        <v>57</v>
      </c>
      <c r="H153" s="217" t="e">
        <f ca="1">0.000001*INDIRECT($B153&amp;"!AC8")</f>
        <v>#VALUE!</v>
      </c>
      <c r="J153" s="218" t="e">
        <f ca="1">H153/D153-1</f>
        <v>#VALUE!</v>
      </c>
      <c r="L153" s="65" t="str">
        <f ca="1">INDIRECT($B153&amp;"!"&amp;L$3&amp;"8")</f>
        <v/>
      </c>
      <c r="M153" s="66" t="str">
        <f ca="1">INDIRECT($B153&amp;"!"&amp;M$3&amp;"8")</f>
        <v/>
      </c>
      <c r="N153" s="67" t="e">
        <f ca="1">M153-L153</f>
        <v>#VALUE!</v>
      </c>
      <c r="O153" s="216"/>
      <c r="P153" s="225"/>
    </row>
    <row r="154" spans="2:28" ht="18" customHeight="1" thickBot="1" x14ac:dyDescent="0.3">
      <c r="B154" s="86" t="str">
        <f>B153</f>
        <v>BlueBackpack_UVGgs_0200</v>
      </c>
      <c r="C154" s="93" t="s">
        <v>58</v>
      </c>
      <c r="D154" s="217" t="e">
        <f ca="1">0.000001*INDIRECT($B154&amp;"!E9")</f>
        <v>#VALUE!</v>
      </c>
      <c r="E154" s="216"/>
      <c r="F154" s="86" t="str">
        <f>F153</f>
        <v>BlueBackpack_UVGgs_0200</v>
      </c>
      <c r="G154" s="93" t="s">
        <v>58</v>
      </c>
      <c r="H154" s="217" t="e">
        <f ca="1">0.000001*INDIRECT($B154&amp;"!AC9")</f>
        <v>#VALUE!</v>
      </c>
      <c r="J154" s="218" t="e">
        <f ca="1">H154/D154-1</f>
        <v>#VALUE!</v>
      </c>
      <c r="L154" s="65" t="str">
        <f ca="1">INDIRECT($B154&amp;"!"&amp;L$3&amp;"9")</f>
        <v/>
      </c>
      <c r="M154" s="66" t="str">
        <f ca="1">INDIRECT($B154&amp;"!"&amp;M$3&amp;"9")</f>
        <v/>
      </c>
      <c r="N154" s="67" t="e">
        <f ca="1">M154-L154</f>
        <v>#VALUE!</v>
      </c>
      <c r="O154" s="216"/>
      <c r="P154" s="221"/>
    </row>
    <row r="155" spans="2:28" x14ac:dyDescent="0.25">
      <c r="B155" s="80"/>
      <c r="C155" s="81"/>
      <c r="D155" s="222"/>
      <c r="F155" s="80"/>
      <c r="G155" s="81"/>
      <c r="H155" s="222"/>
      <c r="J155" s="69" t="e">
        <f ca="1">MIN(D150:D154,H150:H154)</f>
        <v>#VALUE!</v>
      </c>
      <c r="L155" s="70"/>
      <c r="M155" s="71"/>
      <c r="N155" s="72"/>
      <c r="O155" s="216"/>
      <c r="P155" s="205"/>
    </row>
    <row r="156" spans="2:28" ht="18" customHeight="1" thickBot="1" x14ac:dyDescent="0.3">
      <c r="B156" s="62"/>
      <c r="C156" s="63"/>
      <c r="D156" s="223"/>
      <c r="E156" s="216"/>
      <c r="F156" s="62"/>
      <c r="G156" s="63"/>
      <c r="H156" s="223"/>
      <c r="J156" s="73" t="e">
        <f ca="1">MAX(D150:D154,H150:H154)</f>
        <v>#VALUE!</v>
      </c>
      <c r="L156" s="74">
        <f>L155</f>
        <v>0</v>
      </c>
      <c r="M156" s="75">
        <f>M155</f>
        <v>0</v>
      </c>
      <c r="N156" s="68"/>
      <c r="O156" s="216"/>
      <c r="P156" s="5"/>
      <c r="AB156" s="220"/>
    </row>
    <row r="157" spans="2:28" ht="18" customHeight="1" thickBot="1" x14ac:dyDescent="0.3"/>
    <row r="158" spans="2:28" x14ac:dyDescent="0.25">
      <c r="B158" s="265" t="s">
        <v>35</v>
      </c>
      <c r="C158" s="260"/>
      <c r="D158" s="261"/>
      <c r="E158" s="2"/>
      <c r="F158" s="265" t="str">
        <f>B158</f>
        <v>FlowerDance_UVGgs_0000</v>
      </c>
      <c r="G158" s="260"/>
      <c r="H158" s="261"/>
      <c r="J158" s="205"/>
      <c r="L158" s="259" t="str">
        <f>F158</f>
        <v>FlowerDance_UVGgs_0000</v>
      </c>
      <c r="M158" s="260"/>
      <c r="N158" s="261"/>
      <c r="O158" s="149"/>
      <c r="P158" s="205"/>
    </row>
    <row r="159" spans="2:28" ht="16.5" customHeight="1" x14ac:dyDescent="0.25">
      <c r="B159" s="262" t="s">
        <v>47</v>
      </c>
      <c r="C159" s="257"/>
      <c r="D159" s="61" t="s">
        <v>48</v>
      </c>
      <c r="E159" s="216"/>
      <c r="F159" s="262" t="s">
        <v>47</v>
      </c>
      <c r="G159" s="257"/>
      <c r="H159" s="61" t="s">
        <v>48</v>
      </c>
      <c r="J159" s="203" t="s">
        <v>49</v>
      </c>
      <c r="L159" s="256" t="s">
        <v>61</v>
      </c>
      <c r="M159" s="257"/>
      <c r="N159" s="258"/>
      <c r="O159" s="59"/>
      <c r="P159" s="3"/>
      <c r="AB159" s="220"/>
    </row>
    <row r="160" spans="2:28" x14ac:dyDescent="0.25">
      <c r="B160" s="145" t="s">
        <v>0</v>
      </c>
      <c r="C160" s="93" t="s">
        <v>51</v>
      </c>
      <c r="D160" s="60" t="s">
        <v>52</v>
      </c>
      <c r="E160" s="216"/>
      <c r="F160" s="145" t="s">
        <v>0</v>
      </c>
      <c r="G160" s="93" t="s">
        <v>51</v>
      </c>
      <c r="H160" s="60" t="s">
        <v>52</v>
      </c>
      <c r="J160" s="64"/>
      <c r="L160" s="146" t="str">
        <f>CONCATENATE(B$2," ",L158)</f>
        <v>MPEG151-octree FlowerDance_UVGgs_0000</v>
      </c>
      <c r="M160" s="147" t="str">
        <f>CONCATENATE(F$2," ",L158)</f>
        <v>MPEG151-修改上下文 FlowerDance_UVGgs_0000</v>
      </c>
      <c r="N160" s="148" t="s">
        <v>53</v>
      </c>
      <c r="O160" s="2"/>
      <c r="P160" s="3" t="s">
        <v>44</v>
      </c>
    </row>
    <row r="161" spans="2:28" ht="16.5" customHeight="1" x14ac:dyDescent="0.25">
      <c r="B161" s="86" t="str">
        <f>B158</f>
        <v>FlowerDance_UVGgs_0000</v>
      </c>
      <c r="C161" s="93" t="s">
        <v>54</v>
      </c>
      <c r="D161" s="217" t="e">
        <f ca="1">0.000001*INDIRECT($B161&amp;"!E5")</f>
        <v>#VALUE!</v>
      </c>
      <c r="E161" s="216"/>
      <c r="F161" s="86" t="str">
        <f>F158</f>
        <v>FlowerDance_UVGgs_0000</v>
      </c>
      <c r="G161" s="93" t="s">
        <v>54</v>
      </c>
      <c r="H161" s="217" t="e">
        <f ca="1">0.000001*INDIRECT($B161&amp;"!AC5")</f>
        <v>#VALUE!</v>
      </c>
      <c r="J161" s="218" t="e">
        <f ca="1">H161/D161-1</f>
        <v>#VALUE!</v>
      </c>
      <c r="L161" s="65" t="str">
        <f ca="1">INDIRECT($B161&amp;"!"&amp;L$3&amp;"5")</f>
        <v/>
      </c>
      <c r="M161" s="66" t="str">
        <f ca="1">INDIRECT($B161&amp;"!"&amp;M$3&amp;"5")</f>
        <v/>
      </c>
      <c r="N161" s="67" t="e">
        <f ca="1">M161-L161</f>
        <v>#VALUE!</v>
      </c>
      <c r="O161" s="216"/>
      <c r="P161" s="218" t="e">
        <f ca="1">bdRateExtend(D161:D165,L161:L165,H161:H165,M161:M165)</f>
        <v>#VALUE!</v>
      </c>
    </row>
    <row r="162" spans="2:28" ht="16.5" customHeight="1" x14ac:dyDescent="0.25">
      <c r="B162" s="86" t="str">
        <f>B161</f>
        <v>FlowerDance_UVGgs_0000</v>
      </c>
      <c r="C162" s="93" t="s">
        <v>55</v>
      </c>
      <c r="D162" s="217" t="e">
        <f ca="1">0.000001*INDIRECT($B162&amp;"!E6")</f>
        <v>#VALUE!</v>
      </c>
      <c r="E162" s="216"/>
      <c r="F162" s="86" t="str">
        <f>F161</f>
        <v>FlowerDance_UVGgs_0000</v>
      </c>
      <c r="G162" s="93" t="s">
        <v>55</v>
      </c>
      <c r="H162" s="217" t="e">
        <f ca="1">0.000001*INDIRECT($B162&amp;"!AC6")</f>
        <v>#VALUE!</v>
      </c>
      <c r="J162" s="218" t="e">
        <f ca="1">H162/D162-1</f>
        <v>#VALUE!</v>
      </c>
      <c r="L162" s="65" t="str">
        <f ca="1">INDIRECT($B162&amp;"!"&amp;L$3&amp;"6")</f>
        <v/>
      </c>
      <c r="M162" s="66" t="str">
        <f ca="1">INDIRECT($B162&amp;"!"&amp;M$3&amp;"6")</f>
        <v/>
      </c>
      <c r="N162" s="67" t="e">
        <f ca="1">M162-L162</f>
        <v>#VALUE!</v>
      </c>
      <c r="O162" s="216"/>
      <c r="P162" s="3"/>
    </row>
    <row r="163" spans="2:28" x14ac:dyDescent="0.25">
      <c r="B163" s="86" t="str">
        <f>B162</f>
        <v>FlowerDance_UVGgs_0000</v>
      </c>
      <c r="C163" s="93" t="s">
        <v>56</v>
      </c>
      <c r="D163" s="217" t="e">
        <f ca="1">0.000001*INDIRECT($B163&amp;"!E7")</f>
        <v>#VALUE!</v>
      </c>
      <c r="E163" s="216"/>
      <c r="F163" s="86" t="str">
        <f>F162</f>
        <v>FlowerDance_UVGgs_0000</v>
      </c>
      <c r="G163" s="93" t="s">
        <v>56</v>
      </c>
      <c r="H163" s="217" t="e">
        <f ca="1">0.000001*INDIRECT($B163&amp;"!AC7")</f>
        <v>#VALUE!</v>
      </c>
      <c r="J163" s="218" t="e">
        <f ca="1">H163/D163-1</f>
        <v>#VALUE!</v>
      </c>
      <c r="L163" s="65" t="str">
        <f ca="1">INDIRECT($B163&amp;"!"&amp;L$3&amp;"7")</f>
        <v/>
      </c>
      <c r="M163" s="66" t="str">
        <f ca="1">INDIRECT($B163&amp;"!"&amp;M$3&amp;"7")</f>
        <v/>
      </c>
      <c r="N163" s="67" t="e">
        <f ca="1">M163-L163</f>
        <v>#VALUE!</v>
      </c>
      <c r="O163" s="216"/>
      <c r="P163" s="3"/>
    </row>
    <row r="164" spans="2:28" x14ac:dyDescent="0.25">
      <c r="B164" s="86" t="str">
        <f>B163</f>
        <v>FlowerDance_UVGgs_0000</v>
      </c>
      <c r="C164" s="93" t="s">
        <v>57</v>
      </c>
      <c r="D164" s="217" t="e">
        <f ca="1">0.000001*INDIRECT($B164&amp;"!E8")</f>
        <v>#VALUE!</v>
      </c>
      <c r="E164" s="216"/>
      <c r="F164" s="86" t="str">
        <f>F163</f>
        <v>FlowerDance_UVGgs_0000</v>
      </c>
      <c r="G164" s="93" t="s">
        <v>57</v>
      </c>
      <c r="H164" s="217" t="e">
        <f ca="1">0.000001*INDIRECT($B164&amp;"!AC8")</f>
        <v>#VALUE!</v>
      </c>
      <c r="J164" s="218" t="e">
        <f ca="1">H164/D164-1</f>
        <v>#VALUE!</v>
      </c>
      <c r="L164" s="65" t="str">
        <f ca="1">INDIRECT($B164&amp;"!"&amp;L$3&amp;"8")</f>
        <v/>
      </c>
      <c r="M164" s="66" t="str">
        <f ca="1">INDIRECT($B164&amp;"!"&amp;M$3&amp;"8")</f>
        <v/>
      </c>
      <c r="N164" s="67" t="e">
        <f ca="1">M164-L164</f>
        <v>#VALUE!</v>
      </c>
      <c r="O164" s="216"/>
      <c r="P164" s="225"/>
    </row>
    <row r="165" spans="2:28" ht="18" customHeight="1" thickBot="1" x14ac:dyDescent="0.3">
      <c r="B165" s="86" t="str">
        <f>B164</f>
        <v>FlowerDance_UVGgs_0000</v>
      </c>
      <c r="C165" s="93" t="s">
        <v>58</v>
      </c>
      <c r="D165" s="217" t="e">
        <f ca="1">0.000001*INDIRECT($B165&amp;"!E9")</f>
        <v>#VALUE!</v>
      </c>
      <c r="E165" s="216"/>
      <c r="F165" s="86" t="str">
        <f>F164</f>
        <v>FlowerDance_UVGgs_0000</v>
      </c>
      <c r="G165" s="93" t="s">
        <v>58</v>
      </c>
      <c r="H165" s="217" t="e">
        <f ca="1">0.000001*INDIRECT($B165&amp;"!AC9")</f>
        <v>#VALUE!</v>
      </c>
      <c r="J165" s="218" t="e">
        <f ca="1">H165/D165-1</f>
        <v>#VALUE!</v>
      </c>
      <c r="L165" s="65" t="str">
        <f ca="1">INDIRECT($B165&amp;"!"&amp;L$3&amp;"9")</f>
        <v/>
      </c>
      <c r="M165" s="66" t="str">
        <f ca="1">INDIRECT($B165&amp;"!"&amp;M$3&amp;"9")</f>
        <v/>
      </c>
      <c r="N165" s="67" t="e">
        <f ca="1">M165-L165</f>
        <v>#VALUE!</v>
      </c>
      <c r="O165" s="216"/>
      <c r="P165" s="221"/>
    </row>
    <row r="166" spans="2:28" x14ac:dyDescent="0.25">
      <c r="B166" s="80"/>
      <c r="C166" s="81"/>
      <c r="D166" s="222"/>
      <c r="F166" s="80"/>
      <c r="G166" s="81"/>
      <c r="H166" s="222"/>
      <c r="J166" s="69" t="e">
        <f ca="1">MIN(D161:D165,H161:H165)</f>
        <v>#VALUE!</v>
      </c>
      <c r="L166" s="70"/>
      <c r="M166" s="71"/>
      <c r="N166" s="72"/>
      <c r="O166" s="216"/>
      <c r="P166" s="205"/>
      <c r="AB166" s="220"/>
    </row>
    <row r="167" spans="2:28" ht="18" customHeight="1" thickBot="1" x14ac:dyDescent="0.3">
      <c r="B167" s="62"/>
      <c r="C167" s="63"/>
      <c r="D167" s="223"/>
      <c r="E167" s="216"/>
      <c r="F167" s="62"/>
      <c r="G167" s="63"/>
      <c r="H167" s="223"/>
      <c r="J167" s="73" t="e">
        <f ca="1">MAX(D161:D165,H161:H165)</f>
        <v>#VALUE!</v>
      </c>
      <c r="L167" s="74">
        <f>L166</f>
        <v>0</v>
      </c>
      <c r="M167" s="75">
        <f>M166</f>
        <v>0</v>
      </c>
      <c r="N167" s="68"/>
      <c r="O167" s="216"/>
      <c r="P167" s="5"/>
    </row>
    <row r="168" spans="2:28" ht="18" customHeight="1" thickBot="1" x14ac:dyDescent="0.3"/>
    <row r="169" spans="2:28" ht="16.5" customHeight="1" x14ac:dyDescent="0.25">
      <c r="B169" s="265" t="s">
        <v>36</v>
      </c>
      <c r="C169" s="260"/>
      <c r="D169" s="261"/>
      <c r="E169" s="2"/>
      <c r="F169" s="265" t="str">
        <f>B169</f>
        <v>FlowerDance_UVGgs_0200</v>
      </c>
      <c r="G169" s="260"/>
      <c r="H169" s="261"/>
      <c r="J169" s="205"/>
      <c r="L169" s="259" t="str">
        <f>F169</f>
        <v>FlowerDance_UVGgs_0200</v>
      </c>
      <c r="M169" s="260"/>
      <c r="N169" s="261"/>
      <c r="O169" s="149"/>
      <c r="P169" s="205"/>
      <c r="AB169" s="220"/>
    </row>
    <row r="170" spans="2:28" x14ac:dyDescent="0.25">
      <c r="B170" s="262" t="s">
        <v>47</v>
      </c>
      <c r="C170" s="257"/>
      <c r="D170" s="61" t="s">
        <v>48</v>
      </c>
      <c r="E170" s="216"/>
      <c r="F170" s="262" t="s">
        <v>47</v>
      </c>
      <c r="G170" s="257"/>
      <c r="H170" s="61" t="s">
        <v>48</v>
      </c>
      <c r="J170" s="203" t="s">
        <v>49</v>
      </c>
      <c r="L170" s="256" t="s">
        <v>61</v>
      </c>
      <c r="M170" s="257"/>
      <c r="N170" s="258"/>
      <c r="O170" s="59"/>
      <c r="P170" s="3"/>
    </row>
    <row r="171" spans="2:28" ht="16.5" customHeight="1" x14ac:dyDescent="0.25">
      <c r="B171" s="145" t="s">
        <v>0</v>
      </c>
      <c r="C171" s="93" t="s">
        <v>51</v>
      </c>
      <c r="D171" s="60" t="s">
        <v>52</v>
      </c>
      <c r="E171" s="216"/>
      <c r="F171" s="145" t="s">
        <v>0</v>
      </c>
      <c r="G171" s="93" t="s">
        <v>51</v>
      </c>
      <c r="H171" s="60" t="s">
        <v>52</v>
      </c>
      <c r="J171" s="64"/>
      <c r="L171" s="146" t="str">
        <f>CONCATENATE(B$2," ",L169)</f>
        <v>MPEG151-octree FlowerDance_UVGgs_0200</v>
      </c>
      <c r="M171" s="147" t="str">
        <f>CONCATENATE(F$2," ",L169)</f>
        <v>MPEG151-修改上下文 FlowerDance_UVGgs_0200</v>
      </c>
      <c r="N171" s="148" t="s">
        <v>53</v>
      </c>
      <c r="O171" s="2"/>
      <c r="P171" s="3" t="s">
        <v>44</v>
      </c>
    </row>
    <row r="172" spans="2:28" ht="16.5" customHeight="1" x14ac:dyDescent="0.25">
      <c r="B172" s="86" t="str">
        <f>B169</f>
        <v>FlowerDance_UVGgs_0200</v>
      </c>
      <c r="C172" s="93" t="s">
        <v>54</v>
      </c>
      <c r="D172" s="217" t="e">
        <f ca="1">0.000001*INDIRECT($B172&amp;"!E5")</f>
        <v>#VALUE!</v>
      </c>
      <c r="E172" s="216"/>
      <c r="F172" s="86" t="str">
        <f>F169</f>
        <v>FlowerDance_UVGgs_0200</v>
      </c>
      <c r="G172" s="93" t="s">
        <v>54</v>
      </c>
      <c r="H172" s="217" t="e">
        <f ca="1">0.000001*INDIRECT($B172&amp;"!AC5")</f>
        <v>#VALUE!</v>
      </c>
      <c r="J172" s="218" t="e">
        <f ca="1">H172/D172-1</f>
        <v>#VALUE!</v>
      </c>
      <c r="L172" s="65" t="str">
        <f ca="1">INDIRECT($B172&amp;"!"&amp;L$3&amp;"5")</f>
        <v/>
      </c>
      <c r="M172" s="66" t="str">
        <f ca="1">INDIRECT($B172&amp;"!"&amp;M$3&amp;"5")</f>
        <v/>
      </c>
      <c r="N172" s="67" t="e">
        <f ca="1">M172-L172</f>
        <v>#VALUE!</v>
      </c>
      <c r="O172" s="216"/>
      <c r="P172" s="218" t="e">
        <f ca="1">bdRateExtend(D172:D176,L172:L176,H172:H176,M172:M176)</f>
        <v>#VALUE!</v>
      </c>
    </row>
    <row r="173" spans="2:28" x14ac:dyDescent="0.25">
      <c r="B173" s="86" t="str">
        <f>B172</f>
        <v>FlowerDance_UVGgs_0200</v>
      </c>
      <c r="C173" s="93" t="s">
        <v>55</v>
      </c>
      <c r="D173" s="217" t="e">
        <f ca="1">0.000001*INDIRECT($B173&amp;"!E6")</f>
        <v>#VALUE!</v>
      </c>
      <c r="E173" s="216"/>
      <c r="F173" s="86" t="str">
        <f>F172</f>
        <v>FlowerDance_UVGgs_0200</v>
      </c>
      <c r="G173" s="93" t="s">
        <v>55</v>
      </c>
      <c r="H173" s="217" t="e">
        <f ca="1">0.000001*INDIRECT($B173&amp;"!AC6")</f>
        <v>#VALUE!</v>
      </c>
      <c r="J173" s="218" t="e">
        <f ca="1">H173/D173-1</f>
        <v>#VALUE!</v>
      </c>
      <c r="L173" s="65" t="str">
        <f ca="1">INDIRECT($B173&amp;"!"&amp;L$3&amp;"6")</f>
        <v/>
      </c>
      <c r="M173" s="66" t="str">
        <f ca="1">INDIRECT($B173&amp;"!"&amp;M$3&amp;"6")</f>
        <v/>
      </c>
      <c r="N173" s="67" t="e">
        <f ca="1">M173-L173</f>
        <v>#VALUE!</v>
      </c>
      <c r="O173" s="216"/>
      <c r="P173" s="3"/>
    </row>
    <row r="174" spans="2:28" x14ac:dyDescent="0.25">
      <c r="B174" s="86" t="str">
        <f>B173</f>
        <v>FlowerDance_UVGgs_0200</v>
      </c>
      <c r="C174" s="93" t="s">
        <v>56</v>
      </c>
      <c r="D174" s="217" t="e">
        <f ca="1">0.000001*INDIRECT($B174&amp;"!E7")</f>
        <v>#VALUE!</v>
      </c>
      <c r="E174" s="216"/>
      <c r="F174" s="86" t="str">
        <f>F173</f>
        <v>FlowerDance_UVGgs_0200</v>
      </c>
      <c r="G174" s="93" t="s">
        <v>56</v>
      </c>
      <c r="H174" s="217" t="e">
        <f ca="1">0.000001*INDIRECT($B174&amp;"!AC7")</f>
        <v>#VALUE!</v>
      </c>
      <c r="J174" s="218" t="e">
        <f ca="1">H174/D174-1</f>
        <v>#VALUE!</v>
      </c>
      <c r="L174" s="65" t="str">
        <f ca="1">INDIRECT($B174&amp;"!"&amp;L$3&amp;"7")</f>
        <v/>
      </c>
      <c r="M174" s="66" t="str">
        <f ca="1">INDIRECT($B174&amp;"!"&amp;M$3&amp;"7")</f>
        <v/>
      </c>
      <c r="N174" s="67" t="e">
        <f ca="1">M174-L174</f>
        <v>#VALUE!</v>
      </c>
      <c r="O174" s="216"/>
      <c r="P174" s="3"/>
    </row>
    <row r="175" spans="2:28" x14ac:dyDescent="0.25">
      <c r="B175" s="86" t="str">
        <f>B174</f>
        <v>FlowerDance_UVGgs_0200</v>
      </c>
      <c r="C175" s="93" t="s">
        <v>57</v>
      </c>
      <c r="D175" s="217" t="e">
        <f ca="1">0.000001*INDIRECT($B175&amp;"!E8")</f>
        <v>#VALUE!</v>
      </c>
      <c r="E175" s="216"/>
      <c r="F175" s="86" t="str">
        <f>F174</f>
        <v>FlowerDance_UVGgs_0200</v>
      </c>
      <c r="G175" s="93" t="s">
        <v>57</v>
      </c>
      <c r="H175" s="217" t="e">
        <f ca="1">0.000001*INDIRECT($B175&amp;"!AC8")</f>
        <v>#VALUE!</v>
      </c>
      <c r="J175" s="218" t="e">
        <f ca="1">H175/D175-1</f>
        <v>#VALUE!</v>
      </c>
      <c r="L175" s="65" t="str">
        <f ca="1">INDIRECT($B175&amp;"!"&amp;L$3&amp;"8")</f>
        <v/>
      </c>
      <c r="M175" s="66" t="str">
        <f ca="1">INDIRECT($B175&amp;"!"&amp;M$3&amp;"8")</f>
        <v/>
      </c>
      <c r="N175" s="67" t="e">
        <f ca="1">M175-L175</f>
        <v>#VALUE!</v>
      </c>
      <c r="O175" s="216"/>
      <c r="P175" s="225"/>
    </row>
    <row r="176" spans="2:28" ht="18" customHeight="1" thickBot="1" x14ac:dyDescent="0.3">
      <c r="B176" s="86" t="str">
        <f>B175</f>
        <v>FlowerDance_UVGgs_0200</v>
      </c>
      <c r="C176" s="93" t="s">
        <v>58</v>
      </c>
      <c r="D176" s="217" t="e">
        <f ca="1">0.000001*INDIRECT($B176&amp;"!E9")</f>
        <v>#VALUE!</v>
      </c>
      <c r="E176" s="216"/>
      <c r="F176" s="86" t="str">
        <f>F175</f>
        <v>FlowerDance_UVGgs_0200</v>
      </c>
      <c r="G176" s="93" t="s">
        <v>58</v>
      </c>
      <c r="H176" s="217" t="e">
        <f ca="1">0.000001*INDIRECT($B176&amp;"!AC9")</f>
        <v>#VALUE!</v>
      </c>
      <c r="J176" s="218" t="e">
        <f ca="1">H176/D176-1</f>
        <v>#VALUE!</v>
      </c>
      <c r="L176" s="65" t="str">
        <f ca="1">INDIRECT($B176&amp;"!"&amp;L$3&amp;"9")</f>
        <v/>
      </c>
      <c r="M176" s="66" t="str">
        <f ca="1">INDIRECT($B176&amp;"!"&amp;M$3&amp;"9")</f>
        <v/>
      </c>
      <c r="N176" s="67" t="e">
        <f ca="1">M176-L176</f>
        <v>#VALUE!</v>
      </c>
      <c r="O176" s="216"/>
      <c r="P176" s="221"/>
      <c r="AB176" s="220"/>
    </row>
    <row r="177" spans="2:28" x14ac:dyDescent="0.25">
      <c r="B177" s="80"/>
      <c r="C177" s="81"/>
      <c r="D177" s="222"/>
      <c r="F177" s="80"/>
      <c r="G177" s="81"/>
      <c r="H177" s="222"/>
      <c r="J177" s="69" t="e">
        <f ca="1">MIN(D172:D176,H172:H176)</f>
        <v>#VALUE!</v>
      </c>
      <c r="L177" s="70"/>
      <c r="M177" s="71"/>
      <c r="N177" s="72"/>
      <c r="O177" s="216"/>
      <c r="P177" s="205"/>
    </row>
    <row r="178" spans="2:28" ht="18" customHeight="1" thickBot="1" x14ac:dyDescent="0.3">
      <c r="B178" s="62"/>
      <c r="C178" s="63"/>
      <c r="D178" s="223"/>
      <c r="E178" s="216"/>
      <c r="F178" s="62"/>
      <c r="G178" s="63"/>
      <c r="H178" s="223"/>
      <c r="J178" s="73" t="e">
        <f ca="1">MAX(D172:D176,H172:H176)</f>
        <v>#VALUE!</v>
      </c>
      <c r="L178" s="74">
        <f>L177</f>
        <v>0</v>
      </c>
      <c r="M178" s="75">
        <f>M177</f>
        <v>0</v>
      </c>
      <c r="N178" s="68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37</v>
      </c>
      <c r="C180" s="260"/>
      <c r="D180" s="261"/>
      <c r="E180" s="2"/>
      <c r="F180" s="265" t="str">
        <f>B180</f>
        <v>Gymnast_UVGgs_0100</v>
      </c>
      <c r="G180" s="260"/>
      <c r="H180" s="261"/>
      <c r="J180" s="205"/>
      <c r="L180" s="259" t="str">
        <f>F180</f>
        <v>Gymnast_UVGgs_0100</v>
      </c>
      <c r="M180" s="260"/>
      <c r="N180" s="261"/>
      <c r="O180" s="149"/>
      <c r="P180" s="205"/>
    </row>
    <row r="181" spans="2:28" ht="16.5" customHeight="1" x14ac:dyDescent="0.25">
      <c r="B181" s="262" t="s">
        <v>47</v>
      </c>
      <c r="C181" s="257"/>
      <c r="D181" s="61" t="s">
        <v>48</v>
      </c>
      <c r="E181" s="216"/>
      <c r="F181" s="262" t="s">
        <v>47</v>
      </c>
      <c r="G181" s="257"/>
      <c r="H181" s="61" t="s">
        <v>48</v>
      </c>
      <c r="J181" s="203" t="s">
        <v>49</v>
      </c>
      <c r="L181" s="256" t="s">
        <v>61</v>
      </c>
      <c r="M181" s="257"/>
      <c r="N181" s="258"/>
      <c r="O181" s="59"/>
      <c r="P181" s="3"/>
    </row>
    <row r="182" spans="2:28" ht="16.5" customHeight="1" x14ac:dyDescent="0.25">
      <c r="B182" s="145" t="s">
        <v>0</v>
      </c>
      <c r="C182" s="93" t="s">
        <v>51</v>
      </c>
      <c r="D182" s="60" t="s">
        <v>52</v>
      </c>
      <c r="E182" s="216"/>
      <c r="F182" s="145" t="s">
        <v>0</v>
      </c>
      <c r="G182" s="93" t="s">
        <v>51</v>
      </c>
      <c r="H182" s="60" t="s">
        <v>52</v>
      </c>
      <c r="J182" s="64"/>
      <c r="L182" s="146" t="str">
        <f>CONCATENATE(B$2," ",L180)</f>
        <v>MPEG151-octree Gymnast_UVGgs_0100</v>
      </c>
      <c r="M182" s="147" t="str">
        <f>CONCATENATE(F$2," ",L180)</f>
        <v>MPEG151-修改上下文 Gymnast_UVGgs_0100</v>
      </c>
      <c r="N182" s="148" t="s">
        <v>53</v>
      </c>
      <c r="O182" s="2"/>
      <c r="P182" s="3" t="s">
        <v>44</v>
      </c>
    </row>
    <row r="183" spans="2:28" x14ac:dyDescent="0.25">
      <c r="B183" s="86" t="str">
        <f>B180</f>
        <v>Gymnast_UVGgs_0100</v>
      </c>
      <c r="C183" s="93" t="s">
        <v>54</v>
      </c>
      <c r="D183" s="217" t="e">
        <f ca="1">0.000001*INDIRECT($B183&amp;"!E5")</f>
        <v>#VALUE!</v>
      </c>
      <c r="E183" s="216"/>
      <c r="F183" s="86" t="str">
        <f>F180</f>
        <v>Gymnast_UVGgs_0100</v>
      </c>
      <c r="G183" s="93" t="s">
        <v>54</v>
      </c>
      <c r="H183" s="217" t="e">
        <f ca="1">0.000001*INDIRECT($B183&amp;"!AC5")</f>
        <v>#VALUE!</v>
      </c>
      <c r="J183" s="218" t="e">
        <f ca="1">H183/D183-1</f>
        <v>#VALUE!</v>
      </c>
      <c r="L183" s="65" t="str">
        <f ca="1">INDIRECT($B183&amp;"!"&amp;L$3&amp;"5")</f>
        <v/>
      </c>
      <c r="M183" s="66" t="str">
        <f ca="1">INDIRECT($B183&amp;"!"&amp;M$3&amp;"5")</f>
        <v/>
      </c>
      <c r="N183" s="67" t="e">
        <f ca="1">M183-L183</f>
        <v>#VALUE!</v>
      </c>
      <c r="O183" s="216"/>
      <c r="P183" s="218" t="e">
        <f ca="1">bdRateExtend(D183:D187,L183:L187,H183:H187,M183:M187)</f>
        <v>#VALUE!</v>
      </c>
    </row>
    <row r="184" spans="2:28" x14ac:dyDescent="0.25">
      <c r="B184" s="86" t="str">
        <f>B183</f>
        <v>Gymnast_UVGgs_0100</v>
      </c>
      <c r="C184" s="93" t="s">
        <v>55</v>
      </c>
      <c r="D184" s="217" t="e">
        <f ca="1">0.000001*INDIRECT($B184&amp;"!E6")</f>
        <v>#VALUE!</v>
      </c>
      <c r="E184" s="216"/>
      <c r="F184" s="86" t="str">
        <f>F183</f>
        <v>Gymnast_UVGgs_0100</v>
      </c>
      <c r="G184" s="93" t="s">
        <v>55</v>
      </c>
      <c r="H184" s="217" t="e">
        <f ca="1">0.000001*INDIRECT($B184&amp;"!AC6")</f>
        <v>#VALUE!</v>
      </c>
      <c r="J184" s="218" t="e">
        <f ca="1">H184/D184-1</f>
        <v>#VALUE!</v>
      </c>
      <c r="L184" s="65" t="str">
        <f ca="1">INDIRECT($B184&amp;"!"&amp;L$3&amp;"6")</f>
        <v/>
      </c>
      <c r="M184" s="66" t="str">
        <f ca="1">INDIRECT($B184&amp;"!"&amp;M$3&amp;"6")</f>
        <v/>
      </c>
      <c r="N184" s="67" t="e">
        <f ca="1">M184-L184</f>
        <v>#VALUE!</v>
      </c>
      <c r="O184" s="216"/>
      <c r="P184" s="3"/>
    </row>
    <row r="185" spans="2:28" x14ac:dyDescent="0.25">
      <c r="B185" s="86" t="str">
        <f>B184</f>
        <v>Gymnast_UVGgs_0100</v>
      </c>
      <c r="C185" s="93" t="s">
        <v>56</v>
      </c>
      <c r="D185" s="217" t="e">
        <f ca="1">0.000001*INDIRECT($B185&amp;"!E7")</f>
        <v>#VALUE!</v>
      </c>
      <c r="E185" s="216"/>
      <c r="F185" s="86" t="str">
        <f>F184</f>
        <v>Gymnast_UVGgs_0100</v>
      </c>
      <c r="G185" s="93" t="s">
        <v>56</v>
      </c>
      <c r="H185" s="217" t="e">
        <f ca="1">0.000001*INDIRECT($B185&amp;"!AC7")</f>
        <v>#VALUE!</v>
      </c>
      <c r="J185" s="218" t="e">
        <f ca="1">H185/D185-1</f>
        <v>#VALUE!</v>
      </c>
      <c r="L185" s="65" t="str">
        <f ca="1">INDIRECT($B185&amp;"!"&amp;L$3&amp;"7")</f>
        <v/>
      </c>
      <c r="M185" s="66" t="str">
        <f ca="1">INDIRECT($B185&amp;"!"&amp;M$3&amp;"7")</f>
        <v/>
      </c>
      <c r="N185" s="67" t="e">
        <f ca="1">M185-L185</f>
        <v>#VALUE!</v>
      </c>
      <c r="O185" s="216"/>
      <c r="P185" s="3"/>
    </row>
    <row r="186" spans="2:28" x14ac:dyDescent="0.25">
      <c r="B186" s="86" t="str">
        <f>B185</f>
        <v>Gymnast_UVGgs_0100</v>
      </c>
      <c r="C186" s="93" t="s">
        <v>57</v>
      </c>
      <c r="D186" s="217" t="e">
        <f ca="1">0.000001*INDIRECT($B186&amp;"!E8")</f>
        <v>#VALUE!</v>
      </c>
      <c r="E186" s="216"/>
      <c r="F186" s="86" t="str">
        <f>F185</f>
        <v>Gymnast_UVGgs_0100</v>
      </c>
      <c r="G186" s="93" t="s">
        <v>57</v>
      </c>
      <c r="H186" s="217" t="e">
        <f ca="1">0.000001*INDIRECT($B186&amp;"!AC8")</f>
        <v>#VALUE!</v>
      </c>
      <c r="J186" s="218" t="e">
        <f ca="1">H186/D186-1</f>
        <v>#VALUE!</v>
      </c>
      <c r="L186" s="65" t="str">
        <f ca="1">INDIRECT($B186&amp;"!"&amp;L$3&amp;"8")</f>
        <v/>
      </c>
      <c r="M186" s="66" t="str">
        <f ca="1">INDIRECT($B186&amp;"!"&amp;M$3&amp;"8")</f>
        <v/>
      </c>
      <c r="N186" s="67" t="e">
        <f ca="1">M186-L186</f>
        <v>#VALUE!</v>
      </c>
      <c r="O186" s="216"/>
      <c r="P186" s="225"/>
      <c r="AB186" s="220"/>
    </row>
    <row r="187" spans="2:28" ht="18" customHeight="1" thickBot="1" x14ac:dyDescent="0.3">
      <c r="B187" s="86" t="str">
        <f>B186</f>
        <v>Gymnast_UVGgs_0100</v>
      </c>
      <c r="C187" s="93" t="s">
        <v>58</v>
      </c>
      <c r="D187" s="217" t="e">
        <f ca="1">0.000001*INDIRECT($B187&amp;"!E9")</f>
        <v>#VALUE!</v>
      </c>
      <c r="E187" s="216"/>
      <c r="F187" s="86" t="str">
        <f>F186</f>
        <v>Gymnast_UVGgs_0100</v>
      </c>
      <c r="G187" s="93" t="s">
        <v>58</v>
      </c>
      <c r="H187" s="217" t="e">
        <f ca="1">0.000001*INDIRECT($B187&amp;"!AC9")</f>
        <v>#VALUE!</v>
      </c>
      <c r="J187" s="218" t="e">
        <f ca="1">H187/D187-1</f>
        <v>#VALUE!</v>
      </c>
      <c r="L187" s="65" t="str">
        <f ca="1">INDIRECT($B187&amp;"!"&amp;L$3&amp;"9")</f>
        <v/>
      </c>
      <c r="M187" s="66" t="str">
        <f ca="1">INDIRECT($B187&amp;"!"&amp;M$3&amp;"9")</f>
        <v/>
      </c>
      <c r="N187" s="67" t="e">
        <f ca="1">M187-L187</f>
        <v>#VALUE!</v>
      </c>
      <c r="O187" s="216"/>
      <c r="P187" s="221"/>
    </row>
    <row r="188" spans="2:28" x14ac:dyDescent="0.25">
      <c r="B188" s="80"/>
      <c r="C188" s="81"/>
      <c r="D188" s="222"/>
      <c r="F188" s="80"/>
      <c r="G188" s="81"/>
      <c r="H188" s="222"/>
      <c r="J188" s="69" t="e">
        <f ca="1">MIN(D183:D187,H183:H187)</f>
        <v>#VALUE!</v>
      </c>
      <c r="L188" s="70"/>
      <c r="M188" s="71"/>
      <c r="N188" s="72"/>
      <c r="O188" s="216"/>
      <c r="P188" s="205"/>
    </row>
    <row r="189" spans="2:28" ht="16.5" customHeight="1" thickBot="1" x14ac:dyDescent="0.3">
      <c r="B189" s="62"/>
      <c r="C189" s="63"/>
      <c r="D189" s="223"/>
      <c r="E189" s="216"/>
      <c r="F189" s="62"/>
      <c r="G189" s="63"/>
      <c r="H189" s="223"/>
      <c r="J189" s="73" t="e">
        <f ca="1">MAX(D183:D187,H183:H187)</f>
        <v>#VALUE!</v>
      </c>
      <c r="L189" s="74">
        <f>L188</f>
        <v>0</v>
      </c>
      <c r="M189" s="75">
        <f>M188</f>
        <v>0</v>
      </c>
      <c r="N189" s="68"/>
      <c r="O189" s="216"/>
      <c r="P189" s="5"/>
      <c r="AB189" s="220"/>
    </row>
    <row r="190" spans="2:28" ht="18" customHeight="1" thickBot="1" x14ac:dyDescent="0.3"/>
    <row r="191" spans="2:28" ht="16.5" customHeight="1" x14ac:dyDescent="0.25">
      <c r="B191" s="265" t="s">
        <v>38</v>
      </c>
      <c r="C191" s="260"/>
      <c r="D191" s="261"/>
      <c r="E191" s="2"/>
      <c r="F191" s="265" t="str">
        <f>B191</f>
        <v>Gymnast_UVGgs_0200</v>
      </c>
      <c r="G191" s="260"/>
      <c r="H191" s="261"/>
      <c r="J191" s="205"/>
      <c r="L191" s="259" t="str">
        <f>F191</f>
        <v>Gymnast_UVGgs_0200</v>
      </c>
      <c r="M191" s="260"/>
      <c r="N191" s="261"/>
      <c r="O191" s="149"/>
      <c r="P191" s="205"/>
    </row>
    <row r="192" spans="2:28" ht="16.5" customHeight="1" x14ac:dyDescent="0.25">
      <c r="B192" s="262" t="s">
        <v>47</v>
      </c>
      <c r="C192" s="257"/>
      <c r="D192" s="61" t="s">
        <v>48</v>
      </c>
      <c r="E192" s="216"/>
      <c r="F192" s="262" t="s">
        <v>47</v>
      </c>
      <c r="G192" s="257"/>
      <c r="H192" s="61" t="s">
        <v>48</v>
      </c>
      <c r="J192" s="203" t="s">
        <v>49</v>
      </c>
      <c r="L192" s="256" t="s">
        <v>61</v>
      </c>
      <c r="M192" s="257"/>
      <c r="N192" s="258"/>
      <c r="O192" s="59"/>
      <c r="P192" s="3"/>
    </row>
    <row r="193" spans="2:28" x14ac:dyDescent="0.25">
      <c r="B193" s="145" t="s">
        <v>0</v>
      </c>
      <c r="C193" s="93" t="s">
        <v>51</v>
      </c>
      <c r="D193" s="60" t="s">
        <v>52</v>
      </c>
      <c r="E193" s="216"/>
      <c r="F193" s="145" t="s">
        <v>0</v>
      </c>
      <c r="G193" s="93" t="s">
        <v>51</v>
      </c>
      <c r="H193" s="60" t="s">
        <v>52</v>
      </c>
      <c r="J193" s="64"/>
      <c r="L193" s="146" t="str">
        <f>CONCATENATE(B$2," ",L191)</f>
        <v>MPEG151-octree Gymnast_UVGgs_0200</v>
      </c>
      <c r="M193" s="147" t="str">
        <f>CONCATENATE(F$2," ",L191)</f>
        <v>MPEG151-修改上下文 Gymnast_UVGgs_0200</v>
      </c>
      <c r="N193" s="148" t="s">
        <v>53</v>
      </c>
      <c r="O193" s="2"/>
      <c r="P193" s="3" t="s">
        <v>44</v>
      </c>
    </row>
    <row r="194" spans="2:28" x14ac:dyDescent="0.25">
      <c r="B194" s="86" t="str">
        <f>B191</f>
        <v>Gymnast_UVGgs_0200</v>
      </c>
      <c r="C194" s="93" t="s">
        <v>54</v>
      </c>
      <c r="D194" s="217" t="e">
        <f ca="1">0.000001*INDIRECT($B194&amp;"!E5")</f>
        <v>#VALUE!</v>
      </c>
      <c r="E194" s="216"/>
      <c r="F194" s="86" t="str">
        <f>F191</f>
        <v>Gymnast_UVGgs_0200</v>
      </c>
      <c r="G194" s="93" t="s">
        <v>54</v>
      </c>
      <c r="H194" s="217" t="e">
        <f ca="1">0.000001*INDIRECT($B194&amp;"!AC5")</f>
        <v>#VALUE!</v>
      </c>
      <c r="J194" s="218" t="e">
        <f ca="1">H194/D194-1</f>
        <v>#VALUE!</v>
      </c>
      <c r="L194" s="65" t="str">
        <f ca="1">INDIRECT($B194&amp;"!"&amp;L$3&amp;"5")</f>
        <v/>
      </c>
      <c r="M194" s="66" t="str">
        <f ca="1">INDIRECT($B194&amp;"!"&amp;M$3&amp;"5")</f>
        <v/>
      </c>
      <c r="N194" s="67" t="e">
        <f ca="1">M194-L194</f>
        <v>#VALUE!</v>
      </c>
      <c r="O194" s="216"/>
      <c r="P194" s="218" t="e">
        <f ca="1">bdRateExtend(D194:D198,L194:L198,H194:H198,M194:M198)</f>
        <v>#VALUE!</v>
      </c>
    </row>
    <row r="195" spans="2:28" x14ac:dyDescent="0.25">
      <c r="B195" s="86" t="str">
        <f>B194</f>
        <v>Gymnast_UVGgs_0200</v>
      </c>
      <c r="C195" s="93" t="s">
        <v>55</v>
      </c>
      <c r="D195" s="217" t="e">
        <f ca="1">0.000001*INDIRECT($B195&amp;"!E6")</f>
        <v>#VALUE!</v>
      </c>
      <c r="E195" s="216"/>
      <c r="F195" s="86" t="str">
        <f>F194</f>
        <v>Gymnast_UVGgs_0200</v>
      </c>
      <c r="G195" s="93" t="s">
        <v>55</v>
      </c>
      <c r="H195" s="217" t="e">
        <f ca="1">0.000001*INDIRECT($B195&amp;"!AC6")</f>
        <v>#VALUE!</v>
      </c>
      <c r="J195" s="218" t="e">
        <f ca="1">H195/D195-1</f>
        <v>#VALUE!</v>
      </c>
      <c r="L195" s="65" t="str">
        <f ca="1">INDIRECT($B195&amp;"!"&amp;L$3&amp;"6")</f>
        <v/>
      </c>
      <c r="M195" s="66" t="str">
        <f ca="1">INDIRECT($B195&amp;"!"&amp;M$3&amp;"6")</f>
        <v/>
      </c>
      <c r="N195" s="67" t="e">
        <f ca="1">M195-L195</f>
        <v>#VALUE!</v>
      </c>
      <c r="O195" s="216"/>
      <c r="P195" s="3"/>
    </row>
    <row r="196" spans="2:28" x14ac:dyDescent="0.25">
      <c r="B196" s="86" t="str">
        <f>B195</f>
        <v>Gymnast_UVGgs_0200</v>
      </c>
      <c r="C196" s="93" t="s">
        <v>56</v>
      </c>
      <c r="D196" s="217" t="e">
        <f ca="1">0.000001*INDIRECT($B196&amp;"!E7")</f>
        <v>#VALUE!</v>
      </c>
      <c r="E196" s="216"/>
      <c r="F196" s="86" t="str">
        <f>F195</f>
        <v>Gymnast_UVGgs_0200</v>
      </c>
      <c r="G196" s="93" t="s">
        <v>56</v>
      </c>
      <c r="H196" s="217" t="e">
        <f ca="1">0.000001*INDIRECT($B196&amp;"!AC7")</f>
        <v>#VALUE!</v>
      </c>
      <c r="J196" s="218" t="e">
        <f ca="1">H196/D196-1</f>
        <v>#VALUE!</v>
      </c>
      <c r="L196" s="65" t="str">
        <f ca="1">INDIRECT($B196&amp;"!"&amp;L$3&amp;"7")</f>
        <v/>
      </c>
      <c r="M196" s="66" t="str">
        <f ca="1">INDIRECT($B196&amp;"!"&amp;M$3&amp;"7")</f>
        <v/>
      </c>
      <c r="N196" s="67" t="e">
        <f ca="1">M196-L196</f>
        <v>#VALUE!</v>
      </c>
      <c r="O196" s="216"/>
      <c r="P196" s="3"/>
      <c r="AB196" s="220"/>
    </row>
    <row r="197" spans="2:28" x14ac:dyDescent="0.25">
      <c r="B197" s="86" t="str">
        <f>B196</f>
        <v>Gymnast_UVGgs_0200</v>
      </c>
      <c r="C197" s="93" t="s">
        <v>57</v>
      </c>
      <c r="D197" s="217" t="e">
        <f ca="1">0.000001*INDIRECT($B197&amp;"!E8")</f>
        <v>#VALUE!</v>
      </c>
      <c r="E197" s="216"/>
      <c r="F197" s="86" t="str">
        <f>F196</f>
        <v>Gymnast_UVGgs_0200</v>
      </c>
      <c r="G197" s="93" t="s">
        <v>57</v>
      </c>
      <c r="H197" s="217" t="e">
        <f ca="1">0.000001*INDIRECT($B197&amp;"!AC8")</f>
        <v>#VALUE!</v>
      </c>
      <c r="J197" s="218" t="e">
        <f ca="1">H197/D197-1</f>
        <v>#VALUE!</v>
      </c>
      <c r="L197" s="65" t="str">
        <f ca="1">INDIRECT($B197&amp;"!"&amp;L$3&amp;"8")</f>
        <v/>
      </c>
      <c r="M197" s="66" t="str">
        <f ca="1">INDIRECT($B197&amp;"!"&amp;M$3&amp;"8")</f>
        <v/>
      </c>
      <c r="N197" s="67" t="e">
        <f ca="1">M197-L197</f>
        <v>#VALUE!</v>
      </c>
      <c r="O197" s="216"/>
      <c r="P197" s="225"/>
    </row>
    <row r="198" spans="2:28" ht="18" customHeight="1" thickBot="1" x14ac:dyDescent="0.3">
      <c r="B198" s="86" t="str">
        <f>B197</f>
        <v>Gymnast_UVGgs_0200</v>
      </c>
      <c r="C198" s="93" t="s">
        <v>58</v>
      </c>
      <c r="D198" s="217" t="e">
        <f ca="1">0.000001*INDIRECT($B198&amp;"!E9")</f>
        <v>#VALUE!</v>
      </c>
      <c r="E198" s="216"/>
      <c r="F198" s="86" t="str">
        <f>F197</f>
        <v>Gymnast_UVGgs_0200</v>
      </c>
      <c r="G198" s="93" t="s">
        <v>58</v>
      </c>
      <c r="H198" s="217" t="e">
        <f ca="1">0.000001*INDIRECT($B198&amp;"!AC9")</f>
        <v>#VALUE!</v>
      </c>
      <c r="J198" s="218" t="e">
        <f ca="1">H198/D198-1</f>
        <v>#VALUE!</v>
      </c>
      <c r="L198" s="65" t="str">
        <f ca="1">INDIRECT($B198&amp;"!"&amp;L$3&amp;"9")</f>
        <v/>
      </c>
      <c r="M198" s="66" t="str">
        <f ca="1">INDIRECT($B198&amp;"!"&amp;M$3&amp;"9")</f>
        <v/>
      </c>
      <c r="N198" s="67" t="e">
        <f ca="1">M198-L198</f>
        <v>#VALUE!</v>
      </c>
      <c r="O198" s="216"/>
      <c r="P198" s="221"/>
    </row>
    <row r="199" spans="2:28" ht="16.5" customHeight="1" x14ac:dyDescent="0.25">
      <c r="B199" s="80"/>
      <c r="C199" s="81"/>
      <c r="D199" s="222"/>
      <c r="F199" s="80"/>
      <c r="G199" s="81"/>
      <c r="H199" s="222"/>
      <c r="J199" s="69" t="e">
        <f ca="1">MIN(D194:D198,H194:H198)</f>
        <v>#VALUE!</v>
      </c>
      <c r="L199" s="70"/>
      <c r="M199" s="71"/>
      <c r="N199" s="72"/>
      <c r="O199" s="216"/>
      <c r="P199" s="205"/>
      <c r="AB199" s="220"/>
    </row>
    <row r="200" spans="2:28" ht="18" customHeight="1" thickBot="1" x14ac:dyDescent="0.3">
      <c r="B200" s="62"/>
      <c r="C200" s="63"/>
      <c r="D200" s="223"/>
      <c r="E200" s="216"/>
      <c r="F200" s="62"/>
      <c r="G200" s="63"/>
      <c r="H200" s="223"/>
      <c r="J200" s="73" t="e">
        <f ca="1">MAX(D194:D198,H194:H198)</f>
        <v>#VALUE!</v>
      </c>
      <c r="L200" s="74">
        <f>L199</f>
        <v>0</v>
      </c>
      <c r="M200" s="75">
        <f>M199</f>
        <v>0</v>
      </c>
      <c r="N200" s="68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39</v>
      </c>
      <c r="C202" s="260"/>
      <c r="D202" s="261"/>
      <c r="E202" s="2"/>
      <c r="F202" s="265" t="str">
        <f>B202</f>
        <v>artwork</v>
      </c>
      <c r="G202" s="260"/>
      <c r="H202" s="261"/>
      <c r="J202" s="205"/>
      <c r="L202" s="259" t="str">
        <f>F202</f>
        <v>artwork</v>
      </c>
      <c r="M202" s="260"/>
      <c r="N202" s="261"/>
      <c r="O202" s="149"/>
      <c r="P202" s="205"/>
    </row>
    <row r="203" spans="2:28" x14ac:dyDescent="0.25">
      <c r="B203" s="262" t="s">
        <v>47</v>
      </c>
      <c r="C203" s="257"/>
      <c r="D203" s="61" t="s">
        <v>48</v>
      </c>
      <c r="E203" s="216"/>
      <c r="F203" s="262" t="s">
        <v>47</v>
      </c>
      <c r="G203" s="257"/>
      <c r="H203" s="61" t="s">
        <v>48</v>
      </c>
      <c r="J203" s="203" t="s">
        <v>49</v>
      </c>
      <c r="L203" s="256" t="s">
        <v>61</v>
      </c>
      <c r="M203" s="257"/>
      <c r="N203" s="258"/>
      <c r="O203" s="59"/>
      <c r="P203" s="3"/>
    </row>
    <row r="204" spans="2:28" x14ac:dyDescent="0.25">
      <c r="B204" s="145" t="s">
        <v>0</v>
      </c>
      <c r="C204" s="93" t="s">
        <v>51</v>
      </c>
      <c r="D204" s="60" t="s">
        <v>52</v>
      </c>
      <c r="E204" s="216"/>
      <c r="F204" s="145" t="s">
        <v>0</v>
      </c>
      <c r="G204" s="93" t="s">
        <v>51</v>
      </c>
      <c r="H204" s="60" t="s">
        <v>52</v>
      </c>
      <c r="J204" s="64"/>
      <c r="L204" s="146" t="str">
        <f>CONCATENATE(B$2," ",L202)</f>
        <v>MPEG151-octree artwork</v>
      </c>
      <c r="M204" s="147" t="str">
        <f>CONCATENATE(F$2," ",L202)</f>
        <v>MPEG151-修改上下文 artwork</v>
      </c>
      <c r="N204" s="148" t="s">
        <v>53</v>
      </c>
      <c r="O204" s="2"/>
      <c r="P204" s="3" t="s">
        <v>44</v>
      </c>
    </row>
    <row r="205" spans="2:28" x14ac:dyDescent="0.25">
      <c r="B205" s="86" t="str">
        <f>B202</f>
        <v>artwork</v>
      </c>
      <c r="C205" s="93" t="s">
        <v>54</v>
      </c>
      <c r="D205" s="217" t="e">
        <f ca="1">0.000001*INDIRECT($B205&amp;"!E5")</f>
        <v>#VALUE!</v>
      </c>
      <c r="E205" s="216"/>
      <c r="F205" s="86" t="str">
        <f>F202</f>
        <v>artwork</v>
      </c>
      <c r="G205" s="93" t="s">
        <v>54</v>
      </c>
      <c r="H205" s="217" t="e">
        <f ca="1">0.000001*INDIRECT($B205&amp;"!AC5")</f>
        <v>#VALUE!</v>
      </c>
      <c r="J205" s="218" t="e">
        <f ca="1">H205/D205-1</f>
        <v>#VALUE!</v>
      </c>
      <c r="L205" s="65" t="str">
        <f ca="1">INDIRECT($B205&amp;"!"&amp;L$3&amp;"5")</f>
        <v/>
      </c>
      <c r="M205" s="66" t="str">
        <f ca="1">INDIRECT($B205&amp;"!"&amp;M$3&amp;"5")</f>
        <v/>
      </c>
      <c r="N205" s="67" t="e">
        <f ca="1">M205-L205</f>
        <v>#VALUE!</v>
      </c>
      <c r="O205" s="216"/>
      <c r="P205" s="218" t="e">
        <f ca="1">bdRateExtend(D205:D209,L205:L209,H205:H209,M205:M209)</f>
        <v>#VALUE!</v>
      </c>
    </row>
    <row r="206" spans="2:28" x14ac:dyDescent="0.25">
      <c r="B206" s="86" t="str">
        <f>B205</f>
        <v>artwork</v>
      </c>
      <c r="C206" s="93" t="s">
        <v>55</v>
      </c>
      <c r="D206" s="217" t="e">
        <f ca="1">0.000001*INDIRECT($B206&amp;"!E6")</f>
        <v>#VALUE!</v>
      </c>
      <c r="E206" s="216"/>
      <c r="F206" s="86" t="str">
        <f>F205</f>
        <v>artwork</v>
      </c>
      <c r="G206" s="93" t="s">
        <v>55</v>
      </c>
      <c r="H206" s="217" t="e">
        <f ca="1">0.000001*INDIRECT($B206&amp;"!AC6")</f>
        <v>#VALUE!</v>
      </c>
      <c r="J206" s="218" t="e">
        <f ca="1">H206/D206-1</f>
        <v>#VALUE!</v>
      </c>
      <c r="L206" s="65" t="str">
        <f ca="1">INDIRECT($B206&amp;"!"&amp;L$3&amp;"6")</f>
        <v/>
      </c>
      <c r="M206" s="66" t="str">
        <f ca="1">INDIRECT($B206&amp;"!"&amp;M$3&amp;"6")</f>
        <v/>
      </c>
      <c r="N206" s="67" t="e">
        <f ca="1">M206-L206</f>
        <v>#VALUE!</v>
      </c>
      <c r="O206" s="216"/>
      <c r="P206" s="3"/>
      <c r="AB206" s="220"/>
    </row>
    <row r="207" spans="2:28" x14ac:dyDescent="0.25">
      <c r="B207" s="86" t="str">
        <f>B206</f>
        <v>artwork</v>
      </c>
      <c r="C207" s="93" t="s">
        <v>56</v>
      </c>
      <c r="D207" s="217" t="e">
        <f ca="1">0.000001*INDIRECT($B207&amp;"!E7")</f>
        <v>#VALUE!</v>
      </c>
      <c r="E207" s="216"/>
      <c r="F207" s="86" t="str">
        <f>F206</f>
        <v>artwork</v>
      </c>
      <c r="G207" s="93" t="s">
        <v>56</v>
      </c>
      <c r="H207" s="217" t="e">
        <f ca="1">0.000001*INDIRECT($B207&amp;"!AC7")</f>
        <v>#VALUE!</v>
      </c>
      <c r="J207" s="218" t="e">
        <f ca="1">H207/D207-1</f>
        <v>#VALUE!</v>
      </c>
      <c r="L207" s="65" t="str">
        <f ca="1">INDIRECT($B207&amp;"!"&amp;L$3&amp;"7")</f>
        <v/>
      </c>
      <c r="M207" s="66" t="str">
        <f ca="1">INDIRECT($B207&amp;"!"&amp;M$3&amp;"7")</f>
        <v/>
      </c>
      <c r="N207" s="67" t="e">
        <f ca="1">M207-L207</f>
        <v>#VALUE!</v>
      </c>
      <c r="O207" s="216"/>
      <c r="P207" s="3"/>
    </row>
    <row r="208" spans="2:28" x14ac:dyDescent="0.25">
      <c r="B208" s="86" t="str">
        <f>B207</f>
        <v>artwork</v>
      </c>
      <c r="C208" s="93" t="s">
        <v>57</v>
      </c>
      <c r="D208" s="217" t="e">
        <f ca="1">0.000001*INDIRECT($B208&amp;"!E8")</f>
        <v>#VALUE!</v>
      </c>
      <c r="E208" s="216"/>
      <c r="F208" s="86" t="str">
        <f>F207</f>
        <v>artwork</v>
      </c>
      <c r="G208" s="93" t="s">
        <v>57</v>
      </c>
      <c r="H208" s="217" t="e">
        <f ca="1">0.000001*INDIRECT($B208&amp;"!AC8")</f>
        <v>#VALUE!</v>
      </c>
      <c r="J208" s="218" t="e">
        <f ca="1">H208/D208-1</f>
        <v>#VALUE!</v>
      </c>
      <c r="L208" s="65" t="str">
        <f ca="1">INDIRECT($B208&amp;"!"&amp;L$3&amp;"8")</f>
        <v/>
      </c>
      <c r="M208" s="66" t="str">
        <f ca="1">INDIRECT($B208&amp;"!"&amp;M$3&amp;"8")</f>
        <v/>
      </c>
      <c r="N208" s="67" t="e">
        <f ca="1">M208-L208</f>
        <v>#VALUE!</v>
      </c>
      <c r="O208" s="216"/>
      <c r="P208" s="225"/>
    </row>
    <row r="209" spans="2:28" ht="16.5" customHeight="1" thickBot="1" x14ac:dyDescent="0.3">
      <c r="B209" s="86" t="str">
        <f>B208</f>
        <v>artwork</v>
      </c>
      <c r="C209" s="93" t="s">
        <v>58</v>
      </c>
      <c r="D209" s="217" t="e">
        <f ca="1">0.000001*INDIRECT($B209&amp;"!E9")</f>
        <v>#VALUE!</v>
      </c>
      <c r="E209" s="216"/>
      <c r="F209" s="86" t="str">
        <f>F208</f>
        <v>artwork</v>
      </c>
      <c r="G209" s="93" t="s">
        <v>58</v>
      </c>
      <c r="H209" s="217" t="e">
        <f ca="1">0.000001*INDIRECT($B209&amp;"!AC9")</f>
        <v>#VALUE!</v>
      </c>
      <c r="J209" s="218" t="e">
        <f ca="1">H209/D209-1</f>
        <v>#VALUE!</v>
      </c>
      <c r="L209" s="65" t="str">
        <f ca="1">INDIRECT($B209&amp;"!"&amp;L$3&amp;"9")</f>
        <v/>
      </c>
      <c r="M209" s="66" t="str">
        <f ca="1">INDIRECT($B209&amp;"!"&amp;M$3&amp;"9")</f>
        <v/>
      </c>
      <c r="N209" s="67" t="e">
        <f ca="1">M209-L209</f>
        <v>#VALUE!</v>
      </c>
      <c r="O209" s="216"/>
      <c r="P209" s="221"/>
      <c r="AB209" s="220"/>
    </row>
    <row r="210" spans="2:28" x14ac:dyDescent="0.25">
      <c r="B210" s="80"/>
      <c r="C210" s="81"/>
      <c r="D210" s="222"/>
      <c r="F210" s="80"/>
      <c r="G210" s="81"/>
      <c r="H210" s="222"/>
      <c r="J210" s="69" t="e">
        <f ca="1">MIN(D205:D209,H205:H209)</f>
        <v>#VALUE!</v>
      </c>
      <c r="L210" s="70"/>
      <c r="M210" s="71"/>
      <c r="N210" s="72"/>
      <c r="O210" s="216"/>
      <c r="P210" s="205"/>
    </row>
    <row r="211" spans="2:28" ht="16.5" customHeight="1" thickBot="1" x14ac:dyDescent="0.3">
      <c r="B211" s="62"/>
      <c r="C211" s="63"/>
      <c r="D211" s="223"/>
      <c r="E211" s="216"/>
      <c r="F211" s="62"/>
      <c r="G211" s="63"/>
      <c r="H211" s="223"/>
      <c r="J211" s="73" t="e">
        <f ca="1">MAX(D205:D209,H205:H209)</f>
        <v>#VALUE!</v>
      </c>
      <c r="L211" s="74">
        <f>L210</f>
        <v>0</v>
      </c>
      <c r="M211" s="75">
        <f>M210</f>
        <v>0</v>
      </c>
      <c r="N211" s="68"/>
      <c r="O211" s="216"/>
      <c r="P211" s="5"/>
    </row>
    <row r="212" spans="2:28" ht="16.5" customHeight="1" thickBot="1" x14ac:dyDescent="0.3"/>
    <row r="213" spans="2:28" x14ac:dyDescent="0.25">
      <c r="B213" s="265" t="s">
        <v>40</v>
      </c>
      <c r="C213" s="260"/>
      <c r="D213" s="261"/>
      <c r="E213" s="2"/>
      <c r="F213" s="265" t="str">
        <f>B213</f>
        <v>panda</v>
      </c>
      <c r="G213" s="260"/>
      <c r="H213" s="261"/>
      <c r="J213" s="205"/>
      <c r="L213" s="259" t="str">
        <f>F213</f>
        <v>panda</v>
      </c>
      <c r="M213" s="260"/>
      <c r="N213" s="261"/>
      <c r="O213" s="149"/>
      <c r="P213" s="205"/>
    </row>
    <row r="214" spans="2:28" x14ac:dyDescent="0.25">
      <c r="B214" s="262" t="s">
        <v>47</v>
      </c>
      <c r="C214" s="257"/>
      <c r="D214" s="61" t="s">
        <v>48</v>
      </c>
      <c r="E214" s="216"/>
      <c r="F214" s="262" t="s">
        <v>47</v>
      </c>
      <c r="G214" s="257"/>
      <c r="H214" s="61" t="s">
        <v>48</v>
      </c>
      <c r="J214" s="203" t="s">
        <v>49</v>
      </c>
      <c r="L214" s="256" t="s">
        <v>61</v>
      </c>
      <c r="M214" s="257"/>
      <c r="N214" s="258"/>
      <c r="O214" s="59"/>
      <c r="P214" s="3"/>
    </row>
    <row r="215" spans="2:28" x14ac:dyDescent="0.25">
      <c r="B215" s="145" t="s">
        <v>0</v>
      </c>
      <c r="C215" s="93" t="s">
        <v>51</v>
      </c>
      <c r="D215" s="60" t="s">
        <v>52</v>
      </c>
      <c r="E215" s="216"/>
      <c r="F215" s="145" t="s">
        <v>0</v>
      </c>
      <c r="G215" s="93" t="s">
        <v>51</v>
      </c>
      <c r="H215" s="60" t="s">
        <v>52</v>
      </c>
      <c r="I215" s="2"/>
      <c r="J215" s="64"/>
      <c r="L215" s="146" t="str">
        <f>CONCATENATE(B$2," ",L213)</f>
        <v>MPEG151-octree panda</v>
      </c>
      <c r="M215" s="147" t="str">
        <f>CONCATENATE(F$2," ",L213)</f>
        <v>MPEG151-修改上下文 panda</v>
      </c>
      <c r="N215" s="148" t="s">
        <v>53</v>
      </c>
      <c r="O215" s="2"/>
      <c r="P215" s="3" t="s">
        <v>44</v>
      </c>
      <c r="Q215" s="2"/>
      <c r="R215" s="2"/>
      <c r="S215" s="2"/>
      <c r="T215" s="2"/>
      <c r="U215" s="2"/>
      <c r="V215" s="2"/>
      <c r="X215" s="149"/>
      <c r="Y215" s="149"/>
      <c r="Z215" s="149"/>
    </row>
    <row r="216" spans="2:28" x14ac:dyDescent="0.25">
      <c r="B216" s="86" t="str">
        <f>B213</f>
        <v>panda</v>
      </c>
      <c r="C216" s="93" t="s">
        <v>54</v>
      </c>
      <c r="D216" s="217" t="e">
        <f ca="1">0.000001*INDIRECT($B216&amp;"!E5")</f>
        <v>#VALUE!</v>
      </c>
      <c r="E216" s="216"/>
      <c r="F216" s="86" t="str">
        <f>F213</f>
        <v>panda</v>
      </c>
      <c r="G216" s="93" t="s">
        <v>54</v>
      </c>
      <c r="H216" s="217" t="e">
        <f ca="1">0.000001*INDIRECT($B216&amp;"!AC5")</f>
        <v>#VALUE!</v>
      </c>
      <c r="I216" s="9"/>
      <c r="J216" s="218" t="e">
        <f ca="1">H216/D216-1</f>
        <v>#VALUE!</v>
      </c>
      <c r="L216" s="65" t="str">
        <f ca="1">INDIRECT($B216&amp;"!"&amp;L$3&amp;"5")</f>
        <v/>
      </c>
      <c r="M216" s="66" t="str">
        <f ca="1">INDIRECT($B216&amp;"!"&amp;M$3&amp;"5")</f>
        <v/>
      </c>
      <c r="N216" s="67" t="e">
        <f ca="1">M216-L216</f>
        <v>#VALUE!</v>
      </c>
      <c r="O216" s="216"/>
      <c r="P216" s="218" t="e">
        <f ca="1">bdRateExtend(D216:D220,L216:L220,H216:H220,M216:M220)</f>
        <v>#VALUE!</v>
      </c>
      <c r="Q216" s="216"/>
      <c r="R216" s="9"/>
      <c r="S216" s="9"/>
      <c r="T216" s="9"/>
      <c r="U216" s="9"/>
      <c r="V216" s="219"/>
      <c r="X216" s="6"/>
      <c r="Y216" s="6"/>
      <c r="Z216" s="56"/>
      <c r="AB216" s="220"/>
    </row>
    <row r="217" spans="2:28" x14ac:dyDescent="0.25">
      <c r="B217" s="86" t="str">
        <f>B216</f>
        <v>panda</v>
      </c>
      <c r="C217" s="93" t="s">
        <v>55</v>
      </c>
      <c r="D217" s="217" t="e">
        <f ca="1">0.000001*INDIRECT($B217&amp;"!E6")</f>
        <v>#VALUE!</v>
      </c>
      <c r="E217" s="216"/>
      <c r="F217" s="86" t="str">
        <f>F216</f>
        <v>panda</v>
      </c>
      <c r="G217" s="93" t="s">
        <v>55</v>
      </c>
      <c r="H217" s="217" t="e">
        <f ca="1">0.000001*INDIRECT($B217&amp;"!AC6")</f>
        <v>#VALUE!</v>
      </c>
      <c r="I217" s="9"/>
      <c r="J217" s="218" t="e">
        <f ca="1">H217/D217-1</f>
        <v>#VALUE!</v>
      </c>
      <c r="L217" s="65" t="str">
        <f ca="1">INDIRECT($B217&amp;"!"&amp;L$3&amp;"6")</f>
        <v/>
      </c>
      <c r="M217" s="66" t="str">
        <f ca="1">INDIRECT($B217&amp;"!"&amp;M$3&amp;"6")</f>
        <v/>
      </c>
      <c r="N217" s="67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6"/>
    </row>
    <row r="218" spans="2:28" x14ac:dyDescent="0.25">
      <c r="B218" s="86" t="str">
        <f>B217</f>
        <v>panda</v>
      </c>
      <c r="C218" s="93" t="s">
        <v>56</v>
      </c>
      <c r="D218" s="217" t="e">
        <f ca="1">0.000001*INDIRECT($B218&amp;"!E7")</f>
        <v>#VALUE!</v>
      </c>
      <c r="E218" s="216"/>
      <c r="F218" s="86" t="str">
        <f>F217</f>
        <v>panda</v>
      </c>
      <c r="G218" s="93" t="s">
        <v>56</v>
      </c>
      <c r="H218" s="217" t="e">
        <f ca="1">0.000001*INDIRECT($B218&amp;"!AC7")</f>
        <v>#VALUE!</v>
      </c>
      <c r="I218" s="9"/>
      <c r="J218" s="218" t="e">
        <f ca="1">H218/D218-1</f>
        <v>#VALUE!</v>
      </c>
      <c r="L218" s="65" t="str">
        <f ca="1">INDIRECT($B218&amp;"!"&amp;L$3&amp;"7")</f>
        <v/>
      </c>
      <c r="M218" s="66" t="str">
        <f ca="1">INDIRECT($B218&amp;"!"&amp;M$3&amp;"7")</f>
        <v/>
      </c>
      <c r="N218" s="67" t="e">
        <f ca="1">M218-L218</f>
        <v>#VALUE!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6"/>
    </row>
    <row r="219" spans="2:28" ht="16.5" customHeight="1" x14ac:dyDescent="0.25">
      <c r="B219" s="86" t="str">
        <f>B218</f>
        <v>panda</v>
      </c>
      <c r="C219" s="93" t="s">
        <v>57</v>
      </c>
      <c r="D219" s="217" t="e">
        <f ca="1">0.000001*INDIRECT($B219&amp;"!E8")</f>
        <v>#VALUE!</v>
      </c>
      <c r="E219" s="216"/>
      <c r="F219" s="86" t="str">
        <f>F218</f>
        <v>panda</v>
      </c>
      <c r="G219" s="93" t="s">
        <v>57</v>
      </c>
      <c r="H219" s="217" t="e">
        <f ca="1">0.000001*INDIRECT($B219&amp;"!AC8")</f>
        <v>#VALUE!</v>
      </c>
      <c r="I219" s="9"/>
      <c r="J219" s="218" t="e">
        <f ca="1">H219/D219-1</f>
        <v>#VALUE!</v>
      </c>
      <c r="L219" s="65" t="str">
        <f ca="1">INDIRECT($B219&amp;"!"&amp;L$3&amp;"8")</f>
        <v/>
      </c>
      <c r="M219" s="66" t="str">
        <f ca="1">INDIRECT($B219&amp;"!"&amp;M$3&amp;"8")</f>
        <v/>
      </c>
      <c r="N219" s="67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6"/>
      <c r="AB219" s="220"/>
    </row>
    <row r="220" spans="2:28" ht="18" customHeight="1" thickBot="1" x14ac:dyDescent="0.3">
      <c r="B220" s="86" t="str">
        <f>B219</f>
        <v>panda</v>
      </c>
      <c r="C220" s="93" t="s">
        <v>58</v>
      </c>
      <c r="D220" s="217" t="e">
        <f ca="1">0.000001*INDIRECT($B220&amp;"!E9")</f>
        <v>#VALUE!</v>
      </c>
      <c r="E220" s="216"/>
      <c r="F220" s="86" t="str">
        <f>F219</f>
        <v>panda</v>
      </c>
      <c r="G220" s="93" t="s">
        <v>58</v>
      </c>
      <c r="H220" s="217" t="e">
        <f ca="1">0.000001*INDIRECT($B220&amp;"!AC9")</f>
        <v>#VALUE!</v>
      </c>
      <c r="I220" s="9"/>
      <c r="J220" s="218" t="e">
        <f ca="1">H220/D220-1</f>
        <v>#VALUE!</v>
      </c>
      <c r="L220" s="65" t="str">
        <f ca="1">INDIRECT($B220&amp;"!"&amp;L$3&amp;"9")</f>
        <v/>
      </c>
      <c r="M220" s="66" t="str">
        <f ca="1">INDIRECT($B220&amp;"!"&amp;M$3&amp;"9")</f>
        <v/>
      </c>
      <c r="N220" s="67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7"/>
      <c r="X220" s="6"/>
      <c r="Y220" s="6"/>
      <c r="Z220" s="56"/>
    </row>
    <row r="221" spans="2:28" ht="16.5" customHeight="1" x14ac:dyDescent="0.25">
      <c r="B221" s="80"/>
      <c r="C221" s="81"/>
      <c r="D221" s="222"/>
      <c r="F221" s="80"/>
      <c r="G221" s="81"/>
      <c r="H221" s="222"/>
      <c r="I221" s="9"/>
      <c r="J221" s="69" t="e">
        <f ca="1">MIN(D216:D220,H216:H220)</f>
        <v>#VALUE!</v>
      </c>
      <c r="L221" s="70"/>
      <c r="M221" s="71"/>
      <c r="N221" s="72"/>
      <c r="O221" s="216"/>
      <c r="P221" s="205"/>
      <c r="Q221" s="216"/>
      <c r="R221" s="9"/>
      <c r="S221" s="9"/>
      <c r="T221" s="9"/>
      <c r="U221" s="9"/>
      <c r="V221" s="57"/>
      <c r="X221" s="58"/>
      <c r="Y221" s="58"/>
      <c r="Z221" s="56"/>
    </row>
    <row r="222" spans="2:28" ht="18" customHeight="1" thickBot="1" x14ac:dyDescent="0.3">
      <c r="B222" s="62"/>
      <c r="C222" s="63"/>
      <c r="D222" s="223"/>
      <c r="E222" s="216"/>
      <c r="F222" s="62"/>
      <c r="G222" s="63"/>
      <c r="H222" s="223"/>
      <c r="J222" s="73" t="e">
        <f ca="1">MAX(D216:D220,H216:H220)</f>
        <v>#VALUE!</v>
      </c>
      <c r="L222" s="74">
        <f>L221</f>
        <v>0</v>
      </c>
      <c r="M222" s="75">
        <f>M221</f>
        <v>0</v>
      </c>
      <c r="N222" s="68"/>
      <c r="O222" s="216"/>
      <c r="P222" s="5"/>
    </row>
    <row r="223" spans="2:28" ht="18" customHeight="1" thickBot="1" x14ac:dyDescent="0.3"/>
    <row r="224" spans="2:28" x14ac:dyDescent="0.25">
      <c r="B224" s="265" t="s">
        <v>41</v>
      </c>
      <c r="C224" s="260"/>
      <c r="D224" s="261"/>
      <c r="E224" s="2"/>
      <c r="F224" s="265" t="str">
        <f>B224</f>
        <v>wukong</v>
      </c>
      <c r="G224" s="260"/>
      <c r="H224" s="261"/>
      <c r="J224" s="205"/>
      <c r="L224" s="259" t="str">
        <f>F224</f>
        <v>wukong</v>
      </c>
      <c r="M224" s="260"/>
      <c r="N224" s="261"/>
      <c r="O224" s="149"/>
      <c r="P224" s="205"/>
    </row>
    <row r="225" spans="2:16" x14ac:dyDescent="0.25">
      <c r="B225" s="262" t="s">
        <v>47</v>
      </c>
      <c r="C225" s="257"/>
      <c r="D225" s="61" t="s">
        <v>48</v>
      </c>
      <c r="E225" s="216"/>
      <c r="F225" s="262" t="s">
        <v>47</v>
      </c>
      <c r="G225" s="257"/>
      <c r="H225" s="61" t="s">
        <v>48</v>
      </c>
      <c r="J225" s="203" t="s">
        <v>49</v>
      </c>
      <c r="L225" s="256" t="s">
        <v>61</v>
      </c>
      <c r="M225" s="257"/>
      <c r="N225" s="258"/>
      <c r="O225" s="59"/>
      <c r="P225" s="3"/>
    </row>
    <row r="226" spans="2:16" x14ac:dyDescent="0.25">
      <c r="B226" s="145" t="s">
        <v>0</v>
      </c>
      <c r="C226" s="93" t="s">
        <v>51</v>
      </c>
      <c r="D226" s="60" t="s">
        <v>52</v>
      </c>
      <c r="E226" s="216"/>
      <c r="F226" s="145" t="s">
        <v>0</v>
      </c>
      <c r="G226" s="93" t="s">
        <v>51</v>
      </c>
      <c r="H226" s="60" t="s">
        <v>52</v>
      </c>
      <c r="J226" s="64"/>
      <c r="L226" s="146" t="str">
        <f>CONCATENATE(B$2," ",L224)</f>
        <v>MPEG151-octree wukong</v>
      </c>
      <c r="M226" s="147" t="str">
        <f>CONCATENATE(F$2," ",L224)</f>
        <v>MPEG151-修改上下文 wukong</v>
      </c>
      <c r="N226" s="148" t="s">
        <v>53</v>
      </c>
      <c r="O226" s="2"/>
      <c r="P226" s="3" t="s">
        <v>44</v>
      </c>
    </row>
    <row r="227" spans="2:16" x14ac:dyDescent="0.25">
      <c r="B227" s="86" t="str">
        <f>B224</f>
        <v>wukong</v>
      </c>
      <c r="C227" s="93" t="s">
        <v>54</v>
      </c>
      <c r="D227" s="217" t="e">
        <f ca="1">0.000001*INDIRECT($B227&amp;"!E5")</f>
        <v>#VALUE!</v>
      </c>
      <c r="E227" s="216"/>
      <c r="F227" s="86" t="str">
        <f>F224</f>
        <v>wukong</v>
      </c>
      <c r="G227" s="93" t="s">
        <v>54</v>
      </c>
      <c r="H227" s="217" t="e">
        <f ca="1">0.000001*INDIRECT($B227&amp;"!AC5")</f>
        <v>#VALUE!</v>
      </c>
      <c r="J227" s="218" t="e">
        <f ca="1">H227/D227-1</f>
        <v>#VALUE!</v>
      </c>
      <c r="L227" s="65" t="str">
        <f ca="1">INDIRECT($B227&amp;"!"&amp;L$3&amp;"5")</f>
        <v/>
      </c>
      <c r="M227" s="66" t="str">
        <f ca="1">INDIRECT($B227&amp;"!"&amp;M$3&amp;"5")</f>
        <v/>
      </c>
      <c r="N227" s="67" t="e">
        <f ca="1">M227-L227</f>
        <v>#VALUE!</v>
      </c>
      <c r="O227" s="216"/>
      <c r="P227" s="218" t="e">
        <f ca="1">bdRateExtend(D227:D231,L227:L231,H227:H231,M227:M231)</f>
        <v>#VALUE!</v>
      </c>
    </row>
    <row r="228" spans="2:16" x14ac:dyDescent="0.25">
      <c r="B228" s="86" t="str">
        <f>B227</f>
        <v>wukong</v>
      </c>
      <c r="C228" s="93" t="s">
        <v>55</v>
      </c>
      <c r="D228" s="217" t="e">
        <f ca="1">0.000001*INDIRECT($B228&amp;"!E6")</f>
        <v>#VALUE!</v>
      </c>
      <c r="E228" s="216"/>
      <c r="F228" s="86" t="str">
        <f>F227</f>
        <v>wukong</v>
      </c>
      <c r="G228" s="93" t="s">
        <v>55</v>
      </c>
      <c r="H228" s="217" t="e">
        <f ca="1">0.000001*INDIRECT($B228&amp;"!AC6")</f>
        <v>#VALUE!</v>
      </c>
      <c r="J228" s="218" t="e">
        <f ca="1">H228/D228-1</f>
        <v>#VALUE!</v>
      </c>
      <c r="L228" s="65" t="str">
        <f ca="1">INDIRECT($B228&amp;"!"&amp;L$3&amp;"6")</f>
        <v/>
      </c>
      <c r="M228" s="66" t="str">
        <f ca="1">INDIRECT($B228&amp;"!"&amp;M$3&amp;"6")</f>
        <v/>
      </c>
      <c r="N228" s="67" t="e">
        <f ca="1">M228-L228</f>
        <v>#VALUE!</v>
      </c>
      <c r="O228" s="216"/>
      <c r="P228" s="3"/>
    </row>
    <row r="229" spans="2:16" x14ac:dyDescent="0.25">
      <c r="B229" s="86" t="str">
        <f>B228</f>
        <v>wukong</v>
      </c>
      <c r="C229" s="93" t="s">
        <v>56</v>
      </c>
      <c r="D229" s="217" t="e">
        <f ca="1">0.000001*INDIRECT($B229&amp;"!E7")</f>
        <v>#VALUE!</v>
      </c>
      <c r="E229" s="216"/>
      <c r="F229" s="86" t="str">
        <f>F228</f>
        <v>wukong</v>
      </c>
      <c r="G229" s="93" t="s">
        <v>56</v>
      </c>
      <c r="H229" s="217" t="e">
        <f ca="1">0.000001*INDIRECT($B229&amp;"!AC7")</f>
        <v>#VALUE!</v>
      </c>
      <c r="J229" s="218" t="e">
        <f ca="1">H229/D229-1</f>
        <v>#VALUE!</v>
      </c>
      <c r="L229" s="65" t="str">
        <f ca="1">INDIRECT($B229&amp;"!"&amp;L$3&amp;"7")</f>
        <v/>
      </c>
      <c r="M229" s="66" t="str">
        <f ca="1">INDIRECT($B229&amp;"!"&amp;M$3&amp;"7")</f>
        <v/>
      </c>
      <c r="N229" s="67" t="e">
        <f ca="1">M229-L229</f>
        <v>#VALUE!</v>
      </c>
      <c r="O229" s="216"/>
      <c r="P229" s="3"/>
    </row>
    <row r="230" spans="2:16" x14ac:dyDescent="0.25">
      <c r="B230" s="86" t="str">
        <f>B229</f>
        <v>wukong</v>
      </c>
      <c r="C230" s="93" t="s">
        <v>57</v>
      </c>
      <c r="D230" s="217" t="e">
        <f ca="1">0.000001*INDIRECT($B230&amp;"!E8")</f>
        <v>#VALUE!</v>
      </c>
      <c r="E230" s="216"/>
      <c r="F230" s="86" t="str">
        <f>F229</f>
        <v>wukong</v>
      </c>
      <c r="G230" s="93" t="s">
        <v>57</v>
      </c>
      <c r="H230" s="217" t="e">
        <f ca="1">0.000001*INDIRECT($B230&amp;"!AC8")</f>
        <v>#VALUE!</v>
      </c>
      <c r="J230" s="218" t="e">
        <f ca="1">H230/D230-1</f>
        <v>#VALUE!</v>
      </c>
      <c r="L230" s="65" t="str">
        <f ca="1">INDIRECT($B230&amp;"!"&amp;L$3&amp;"8")</f>
        <v/>
      </c>
      <c r="M230" s="66" t="str">
        <f ca="1">INDIRECT($B230&amp;"!"&amp;M$3&amp;"8")</f>
        <v/>
      </c>
      <c r="N230" s="67" t="e">
        <f ca="1">M230-L230</f>
        <v>#VALUE!</v>
      </c>
      <c r="O230" s="216"/>
      <c r="P230" s="225"/>
    </row>
    <row r="231" spans="2:16" ht="18" customHeight="1" thickBot="1" x14ac:dyDescent="0.3">
      <c r="B231" s="86" t="str">
        <f>B230</f>
        <v>wukong</v>
      </c>
      <c r="C231" s="93" t="s">
        <v>58</v>
      </c>
      <c r="D231" s="217" t="e">
        <f ca="1">0.000001*INDIRECT($B231&amp;"!E9")</f>
        <v>#VALUE!</v>
      </c>
      <c r="E231" s="216"/>
      <c r="F231" s="86" t="str">
        <f>F230</f>
        <v>wukong</v>
      </c>
      <c r="G231" s="93" t="s">
        <v>58</v>
      </c>
      <c r="H231" s="217" t="e">
        <f ca="1">0.000001*INDIRECT($B231&amp;"!AC9")</f>
        <v>#VALUE!</v>
      </c>
      <c r="J231" s="218" t="e">
        <f ca="1">H231/D231-1</f>
        <v>#VALUE!</v>
      </c>
      <c r="L231" s="65" t="str">
        <f ca="1">INDIRECT($B231&amp;"!"&amp;L$3&amp;"9")</f>
        <v/>
      </c>
      <c r="M231" s="66" t="str">
        <f ca="1">INDIRECT($B231&amp;"!"&amp;M$3&amp;"9")</f>
        <v/>
      </c>
      <c r="N231" s="67" t="e">
        <f ca="1">M231-L231</f>
        <v>#VALUE!</v>
      </c>
      <c r="O231" s="216"/>
      <c r="P231" s="221"/>
    </row>
    <row r="232" spans="2:16" x14ac:dyDescent="0.25">
      <c r="B232" s="80"/>
      <c r="C232" s="81"/>
      <c r="D232" s="222"/>
      <c r="F232" s="80"/>
      <c r="G232" s="81"/>
      <c r="H232" s="222"/>
      <c r="J232" s="69" t="e">
        <f ca="1">MIN(D227:D231,H227:H231)</f>
        <v>#VALUE!</v>
      </c>
      <c r="L232" s="70"/>
      <c r="M232" s="71"/>
      <c r="N232" s="72"/>
      <c r="O232" s="216"/>
      <c r="P232" s="205"/>
    </row>
    <row r="233" spans="2:16" ht="18" customHeight="1" thickBot="1" x14ac:dyDescent="0.3">
      <c r="B233" s="62"/>
      <c r="C233" s="63"/>
      <c r="D233" s="223"/>
      <c r="E233" s="216"/>
      <c r="F233" s="62"/>
      <c r="G233" s="63"/>
      <c r="H233" s="223"/>
      <c r="J233" s="73" t="e">
        <f ca="1">MAX(D227:D231,H227:H231)</f>
        <v>#VALUE!</v>
      </c>
      <c r="L233" s="74">
        <f>L232</f>
        <v>0</v>
      </c>
      <c r="M233" s="75">
        <f>M232</f>
        <v>0</v>
      </c>
      <c r="N233" s="68"/>
      <c r="O233" s="216"/>
      <c r="P233" s="5"/>
    </row>
  </sheetData>
  <mergeCells count="159">
    <mergeCell ref="B2:D2"/>
    <mergeCell ref="X4:Z4"/>
    <mergeCell ref="L158:N158"/>
    <mergeCell ref="B225:C225"/>
    <mergeCell ref="B181:C181"/>
    <mergeCell ref="B15:D15"/>
    <mergeCell ref="F48:H48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59:H59"/>
    <mergeCell ref="F15:H15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F224:H224"/>
    <mergeCell ref="B71:C71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F203:G203"/>
    <mergeCell ref="L81:N81"/>
    <mergeCell ref="F181:G181"/>
    <mergeCell ref="F37:H37"/>
    <mergeCell ref="L148:N148"/>
    <mergeCell ref="X81:Z81"/>
    <mergeCell ref="R93:T93"/>
    <mergeCell ref="L27:N27"/>
    <mergeCell ref="L203:N203"/>
    <mergeCell ref="X71:Z71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workbookViewId="0">
      <selection activeCell="H49" sqref="H49"/>
    </sheetView>
  </sheetViews>
  <sheetFormatPr defaultColWidth="9" defaultRowHeight="15.6" x14ac:dyDescent="0.25"/>
  <cols>
    <col min="1" max="1" width="1.69921875" style="202" bestFit="1" customWidth="1"/>
    <col min="2" max="2" width="6.69921875" style="202" customWidth="1"/>
    <col min="3" max="3" width="9.296875" style="202" customWidth="1"/>
    <col min="4" max="4" width="14.296875" style="202" customWidth="1"/>
    <col min="5" max="5" width="4.69921875" style="202" customWidth="1"/>
    <col min="6" max="6" width="6.69921875" style="202" customWidth="1"/>
    <col min="7" max="7" width="9.296875" style="202" customWidth="1"/>
    <col min="8" max="8" width="14.296875" style="202" customWidth="1"/>
    <col min="9" max="9" width="4.69921875" style="202" customWidth="1"/>
    <col min="10" max="10" width="9.69921875" style="202" customWidth="1"/>
    <col min="11" max="11" width="4.69921875" style="202" customWidth="1"/>
    <col min="12" max="12" width="14.296875" style="202" bestFit="1" customWidth="1"/>
    <col min="13" max="13" width="16.09765625" style="202" bestFit="1" customWidth="1"/>
    <col min="14" max="14" width="8" style="202" bestFit="1" customWidth="1"/>
    <col min="15" max="15" width="4.69921875" style="202" customWidth="1"/>
    <col min="16" max="16" width="9.796875" style="202" bestFit="1" customWidth="1"/>
    <col min="17" max="17" width="4.69921875" style="202" customWidth="1"/>
    <col min="18" max="18" width="84.69921875" style="202" customWidth="1"/>
    <col min="19" max="19" width="6.3984375" style="202" bestFit="1" customWidth="1"/>
    <col min="20" max="20" width="9.69921875" style="202" bestFit="1" customWidth="1"/>
    <col min="21" max="21" width="1.69921875" style="202" bestFit="1" customWidth="1"/>
    <col min="22" max="22" width="7.69921875" style="202" bestFit="1" customWidth="1"/>
    <col min="23" max="23" width="1.69921875" style="202" bestFit="1" customWidth="1"/>
    <col min="24" max="24" width="14.296875" style="202" bestFit="1" customWidth="1"/>
    <col min="25" max="25" width="16.09765625" style="202" bestFit="1" customWidth="1"/>
    <col min="26" max="26" width="5.09765625" style="202" bestFit="1" customWidth="1"/>
    <col min="27" max="27" width="1.69921875" style="202" bestFit="1" customWidth="1"/>
    <col min="28" max="28" width="8.09765625" style="206" bestFit="1" customWidth="1"/>
    <col min="29" max="29" width="9" style="202" customWidth="1"/>
    <col min="30" max="30" width="1.296875" style="202" bestFit="1" customWidth="1"/>
    <col min="31" max="31" width="80.69921875" style="202" customWidth="1"/>
    <col min="32" max="32" width="1.296875" style="202" bestFit="1" customWidth="1"/>
    <col min="33" max="38" width="9" style="202" customWidth="1"/>
  </cols>
  <sheetData>
    <row r="1" spans="1:32" x14ac:dyDescent="0.25">
      <c r="AD1" s="10"/>
      <c r="AF1" s="10"/>
    </row>
    <row r="2" spans="1:32" x14ac:dyDescent="0.25">
      <c r="B2" s="264" t="str">
        <f>'Summary (auto)'!C3</f>
        <v>MPEG151-octree</v>
      </c>
      <c r="C2" s="257"/>
      <c r="D2" s="257"/>
      <c r="E2" s="83"/>
      <c r="F2" s="264" t="str">
        <f>'Summary (auto)'!C4</f>
        <v>MPEG151-修改上下文</v>
      </c>
      <c r="G2" s="257"/>
      <c r="H2" s="257"/>
      <c r="I2" s="206"/>
      <c r="J2" s="201" t="s">
        <v>42</v>
      </c>
      <c r="K2" s="206"/>
      <c r="L2" s="263" t="s">
        <v>43</v>
      </c>
      <c r="M2" s="257"/>
      <c r="N2" s="257"/>
      <c r="O2" s="206"/>
      <c r="P2" s="201" t="s">
        <v>44</v>
      </c>
      <c r="U2" s="201"/>
      <c r="V2" s="201"/>
    </row>
    <row r="3" spans="1:32" ht="16.5" customHeight="1" thickBot="1" x14ac:dyDescent="0.3">
      <c r="A3" s="143"/>
      <c r="B3" s="83"/>
      <c r="C3" s="83"/>
      <c r="D3" s="83"/>
      <c r="E3" s="83"/>
      <c r="F3" s="83"/>
      <c r="G3" s="83"/>
      <c r="H3" s="83"/>
      <c r="I3" s="206"/>
      <c r="J3" s="206"/>
      <c r="K3" s="144"/>
      <c r="L3" s="76" t="s">
        <v>62</v>
      </c>
      <c r="M3" s="76" t="s">
        <v>63</v>
      </c>
      <c r="N3" s="206"/>
      <c r="O3" s="144"/>
      <c r="P3" s="206"/>
      <c r="U3" s="143"/>
      <c r="W3" s="143"/>
    </row>
    <row r="4" spans="1:32" x14ac:dyDescent="0.25">
      <c r="B4" s="265" t="s">
        <v>19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205"/>
      <c r="L4" s="259" t="str">
        <f>F4</f>
        <v>bartender_track</v>
      </c>
      <c r="M4" s="260"/>
      <c r="N4" s="261"/>
      <c r="O4" s="149"/>
      <c r="P4" s="205"/>
      <c r="Q4" s="149"/>
      <c r="R4" s="149"/>
      <c r="S4" s="149"/>
      <c r="T4" s="149"/>
      <c r="U4" s="206"/>
      <c r="V4" s="206"/>
      <c r="X4" s="266"/>
      <c r="Y4" s="257"/>
      <c r="Z4" s="257"/>
    </row>
    <row r="5" spans="1:32" x14ac:dyDescent="0.25">
      <c r="B5" s="262" t="s">
        <v>47</v>
      </c>
      <c r="C5" s="257"/>
      <c r="D5" s="61" t="s">
        <v>48</v>
      </c>
      <c r="E5" s="216"/>
      <c r="F5" s="262" t="s">
        <v>47</v>
      </c>
      <c r="G5" s="257"/>
      <c r="H5" s="61" t="s">
        <v>48</v>
      </c>
      <c r="I5" s="9"/>
      <c r="J5" s="203" t="s">
        <v>49</v>
      </c>
      <c r="L5" s="256" t="s">
        <v>64</v>
      </c>
      <c r="M5" s="257"/>
      <c r="N5" s="258"/>
      <c r="O5" s="59"/>
      <c r="P5" s="3"/>
      <c r="Q5" s="59"/>
      <c r="R5" s="263"/>
      <c r="S5" s="257"/>
      <c r="T5" s="257"/>
      <c r="U5" s="201"/>
      <c r="V5" s="201"/>
      <c r="X5" s="263"/>
      <c r="Y5" s="257"/>
      <c r="Z5" s="257"/>
    </row>
    <row r="6" spans="1:32" x14ac:dyDescent="0.25">
      <c r="B6" s="145" t="s">
        <v>0</v>
      </c>
      <c r="C6" s="93" t="s">
        <v>51</v>
      </c>
      <c r="D6" s="60" t="s">
        <v>52</v>
      </c>
      <c r="E6" s="216"/>
      <c r="F6" s="145" t="s">
        <v>0</v>
      </c>
      <c r="G6" s="93" t="s">
        <v>51</v>
      </c>
      <c r="H6" s="60" t="s">
        <v>52</v>
      </c>
      <c r="I6" s="9"/>
      <c r="J6" s="64"/>
      <c r="L6" s="146" t="str">
        <f>CONCATENATE(B$2," ",L4)</f>
        <v>MPEG151-octree bartender_track</v>
      </c>
      <c r="M6" s="147" t="str">
        <f>CONCATENATE(F$2," ",L4)</f>
        <v>MPEG151-修改上下文 bartender_track</v>
      </c>
      <c r="N6" s="148" t="s">
        <v>53</v>
      </c>
      <c r="O6" s="2"/>
      <c r="P6" s="3" t="s">
        <v>44</v>
      </c>
      <c r="Q6" s="2"/>
      <c r="R6" s="2"/>
      <c r="S6" s="2"/>
      <c r="T6" s="2"/>
      <c r="U6" s="2"/>
      <c r="V6" s="2"/>
      <c r="X6" s="149"/>
      <c r="Y6" s="149"/>
      <c r="Z6" s="149"/>
    </row>
    <row r="7" spans="1:32" x14ac:dyDescent="0.25">
      <c r="B7" s="86" t="str">
        <f>B4</f>
        <v>bartender_track</v>
      </c>
      <c r="C7" s="93" t="s">
        <v>54</v>
      </c>
      <c r="D7" s="217">
        <f ca="1">0.000001*INDIRECT($B7&amp;"!E5")</f>
        <v>4.7279939999999998</v>
      </c>
      <c r="E7" s="216"/>
      <c r="F7" s="86" t="str">
        <f>F4</f>
        <v>bartender_track</v>
      </c>
      <c r="G7" s="93" t="s">
        <v>54</v>
      </c>
      <c r="H7" s="217">
        <f ca="1">0.000001*INDIRECT($B7&amp;"!AC5")</f>
        <v>4.7251889999999994</v>
      </c>
      <c r="I7" s="9"/>
      <c r="J7" s="218">
        <f ca="1">H7/D7-1</f>
        <v>-5.9327486456206557E-4</v>
      </c>
      <c r="L7" s="65">
        <f ca="1">INDIRECT($B7&amp;"!"&amp;L$3&amp;"5")</f>
        <v>0.95844761904761933</v>
      </c>
      <c r="M7" s="66">
        <f ca="1">INDIRECT($B7&amp;"!"&amp;M$3&amp;"5")</f>
        <v>0.95844887999999995</v>
      </c>
      <c r="N7" s="67">
        <f ca="1">M7-L7</f>
        <v>1.2609523806217382E-6</v>
      </c>
      <c r="O7" s="216"/>
      <c r="P7" s="218">
        <f ca="1">bdRateExtend(D7:D11,L7:L11,H7:H11,M7:M11)</f>
        <v>-5.5196712619487442E-4</v>
      </c>
      <c r="Q7" s="216"/>
      <c r="R7" s="9"/>
      <c r="S7" s="9"/>
      <c r="T7" s="9"/>
      <c r="U7" s="9"/>
      <c r="V7" s="219"/>
      <c r="X7" s="6"/>
      <c r="Y7" s="6"/>
      <c r="Z7" s="56"/>
      <c r="AB7" s="220"/>
    </row>
    <row r="8" spans="1:32" x14ac:dyDescent="0.25">
      <c r="B8" s="86" t="str">
        <f>B7</f>
        <v>bartender_track</v>
      </c>
      <c r="C8" s="93" t="s">
        <v>55</v>
      </c>
      <c r="D8" s="217">
        <f ca="1">0.000001*INDIRECT($B8&amp;"!E6")</f>
        <v>6.9946069999999994</v>
      </c>
      <c r="E8" s="216"/>
      <c r="F8" s="86" t="str">
        <f>F7</f>
        <v>bartender_track</v>
      </c>
      <c r="G8" s="93" t="s">
        <v>55</v>
      </c>
      <c r="H8" s="217">
        <f ca="1">0.000001*INDIRECT($B8&amp;"!AC6")</f>
        <v>6.9918019999999999</v>
      </c>
      <c r="I8" s="9"/>
      <c r="J8" s="218">
        <f ca="1">H8/D8-1</f>
        <v>-4.010232454803031E-4</v>
      </c>
      <c r="L8" s="65">
        <f ca="1">INDIRECT($B8&amp;"!"&amp;L$3&amp;"6")</f>
        <v>0.97736666666666649</v>
      </c>
      <c r="M8" s="66">
        <f ca="1">INDIRECT($B8&amp;"!"&amp;M$3&amp;"6")</f>
        <v>0.97736822000000001</v>
      </c>
      <c r="N8" s="67">
        <f ca="1">M8-L8</f>
        <v>1.553333333514928E-6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6"/>
    </row>
    <row r="9" spans="1:32" x14ac:dyDescent="0.25">
      <c r="B9" s="86" t="str">
        <f>B8</f>
        <v>bartender_track</v>
      </c>
      <c r="C9" s="93" t="s">
        <v>56</v>
      </c>
      <c r="D9" s="217">
        <f ca="1">0.000001*INDIRECT($B9&amp;"!E7")</f>
        <v>10.471855</v>
      </c>
      <c r="E9" s="216"/>
      <c r="F9" s="86" t="str">
        <f>F8</f>
        <v>bartender_track</v>
      </c>
      <c r="G9" s="93" t="s">
        <v>56</v>
      </c>
      <c r="H9" s="217">
        <f ca="1">0.000001*INDIRECT($B9&amp;"!AC7")</f>
        <v>10.469049999999999</v>
      </c>
      <c r="I9" s="9"/>
      <c r="J9" s="218">
        <f ca="1">H9/D9-1</f>
        <v>-2.6786085177843422E-4</v>
      </c>
      <c r="L9" s="65">
        <f ca="1">INDIRECT($B9&amp;"!"&amp;L$3&amp;"7")</f>
        <v>0.99001904761904758</v>
      </c>
      <c r="M9" s="66">
        <f ca="1">INDIRECT($B9&amp;"!"&amp;M$3&amp;"7")</f>
        <v>0.99001956000000002</v>
      </c>
      <c r="N9" s="67">
        <f ca="1">M9-L9</f>
        <v>5.1238095244432458E-7</v>
      </c>
      <c r="O9" s="216"/>
      <c r="P9" s="168"/>
      <c r="Q9" s="216"/>
      <c r="R9" s="9"/>
      <c r="S9" s="9"/>
      <c r="T9" s="9"/>
      <c r="U9" s="9"/>
      <c r="V9" s="219"/>
      <c r="X9" s="6"/>
      <c r="Y9" s="6"/>
      <c r="Z9" s="56"/>
    </row>
    <row r="10" spans="1:32" x14ac:dyDescent="0.25">
      <c r="B10" s="86" t="str">
        <f>B9</f>
        <v>bartender_track</v>
      </c>
      <c r="C10" s="93" t="s">
        <v>57</v>
      </c>
      <c r="D10" s="217">
        <f ca="1">0.000001*INDIRECT($B10&amp;"!E8")</f>
        <v>15.070107</v>
      </c>
      <c r="E10" s="216"/>
      <c r="F10" s="86" t="str">
        <f>F9</f>
        <v>bartender_track</v>
      </c>
      <c r="G10" s="93" t="s">
        <v>57</v>
      </c>
      <c r="H10" s="217">
        <f ca="1">0.000001*INDIRECT($B10&amp;"!AC8")</f>
        <v>15.067302</v>
      </c>
      <c r="I10" s="9"/>
      <c r="J10" s="218">
        <f ca="1">H10/D10-1</f>
        <v>-1.8613006530077136E-4</v>
      </c>
      <c r="L10" s="65">
        <f ca="1">INDIRECT($B10&amp;"!"&amp;L$3&amp;"8")</f>
        <v>0.99490000000000023</v>
      </c>
      <c r="M10" s="66">
        <f ca="1">INDIRECT($B10&amp;"!"&amp;M$3&amp;"8")</f>
        <v>0.99491110000000005</v>
      </c>
      <c r="N10" s="67">
        <f ca="1">M10-L10</f>
        <v>1.1099999999819588E-5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6"/>
    </row>
    <row r="11" spans="1:32" ht="16.5" customHeight="1" thickBot="1" x14ac:dyDescent="0.3">
      <c r="B11" s="86" t="str">
        <f>B10</f>
        <v>bartender_track</v>
      </c>
      <c r="C11" s="93" t="s">
        <v>58</v>
      </c>
      <c r="D11" s="217">
        <f ca="1">0.000001*INDIRECT($B11&amp;"!E9")</f>
        <v>19.405922</v>
      </c>
      <c r="E11" s="216"/>
      <c r="F11" s="86" t="str">
        <f>F10</f>
        <v>bartender_track</v>
      </c>
      <c r="G11" s="93" t="s">
        <v>58</v>
      </c>
      <c r="H11" s="217">
        <f ca="1">0.000001*INDIRECT($B11&amp;"!AC9")</f>
        <v>19.403116999999998</v>
      </c>
      <c r="I11" s="9"/>
      <c r="J11" s="218">
        <f ca="1">H11/D11-1</f>
        <v>-1.4454350584336417E-4</v>
      </c>
      <c r="L11" s="65">
        <f ca="1">INDIRECT($B11&amp;"!"&amp;L$3&amp;"9")</f>
        <v>0.99611904761904757</v>
      </c>
      <c r="M11" s="66">
        <f ca="1">INDIRECT($B11&amp;"!"&amp;M$3&amp;"9")</f>
        <v>0.99612946999999996</v>
      </c>
      <c r="N11" s="67">
        <f ca="1">M11-L11</f>
        <v>1.0422380952390675E-5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6"/>
      <c r="AB11" s="220"/>
    </row>
    <row r="12" spans="1:32" ht="16.5" customHeight="1" x14ac:dyDescent="0.25">
      <c r="B12" s="80"/>
      <c r="C12" s="81"/>
      <c r="D12" s="222"/>
      <c r="F12" s="80"/>
      <c r="G12" s="81"/>
      <c r="H12" s="222"/>
      <c r="J12" s="69">
        <f ca="1">MIN(D7:D11,H7:H11)</f>
        <v>4.7251889999999994</v>
      </c>
      <c r="L12" s="70"/>
      <c r="M12" s="71"/>
      <c r="N12" s="72"/>
      <c r="O12" s="216"/>
      <c r="P12" s="205"/>
      <c r="Q12" s="216"/>
      <c r="R12" s="9"/>
      <c r="S12" s="9"/>
      <c r="T12" s="9"/>
      <c r="U12" s="9"/>
      <c r="V12" s="57"/>
      <c r="X12" s="6"/>
      <c r="Y12" s="6"/>
      <c r="Z12" s="56"/>
    </row>
    <row r="13" spans="1:32" ht="16.5" customHeight="1" thickBot="1" x14ac:dyDescent="0.3">
      <c r="B13" s="62"/>
      <c r="C13" s="63"/>
      <c r="D13" s="223"/>
      <c r="E13" s="216"/>
      <c r="F13" s="62"/>
      <c r="G13" s="63"/>
      <c r="H13" s="223"/>
      <c r="I13" s="9"/>
      <c r="J13" s="73">
        <f ca="1">MAX(D7:D11,H7:H11)</f>
        <v>19.405922</v>
      </c>
      <c r="L13" s="74">
        <f>L12</f>
        <v>0</v>
      </c>
      <c r="M13" s="75">
        <f>M12</f>
        <v>0</v>
      </c>
      <c r="N13" s="68"/>
      <c r="O13" s="216"/>
      <c r="P13" s="5"/>
      <c r="Q13" s="216"/>
      <c r="R13" s="9"/>
      <c r="S13" s="9"/>
      <c r="T13" s="9"/>
      <c r="U13" s="9"/>
      <c r="V13" s="57"/>
      <c r="X13" s="58"/>
      <c r="Y13" s="58"/>
      <c r="Z13" s="56"/>
    </row>
    <row r="14" spans="1:32" ht="16.5" customHeight="1" thickBot="1" x14ac:dyDescent="0.3">
      <c r="B14" s="83"/>
      <c r="C14" s="83"/>
      <c r="D14" s="224"/>
      <c r="E14" s="216"/>
      <c r="F14" s="83"/>
      <c r="G14" s="83"/>
      <c r="H14" s="224"/>
    </row>
    <row r="15" spans="1:32" x14ac:dyDescent="0.25">
      <c r="B15" s="265" t="s">
        <v>20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205"/>
      <c r="L15" s="259" t="str">
        <f>F15</f>
        <v>breakfast_track</v>
      </c>
      <c r="M15" s="260"/>
      <c r="N15" s="261"/>
      <c r="O15" s="149"/>
      <c r="P15" s="205"/>
      <c r="Q15" s="149"/>
      <c r="R15" s="149"/>
      <c r="S15" s="149"/>
      <c r="T15" s="149"/>
      <c r="U15" s="206"/>
      <c r="V15" s="206"/>
      <c r="X15" s="266"/>
      <c r="Y15" s="257"/>
      <c r="Z15" s="257"/>
    </row>
    <row r="16" spans="1:32" x14ac:dyDescent="0.25">
      <c r="B16" s="262" t="s">
        <v>47</v>
      </c>
      <c r="C16" s="257"/>
      <c r="D16" s="61" t="s">
        <v>48</v>
      </c>
      <c r="E16" s="216"/>
      <c r="F16" s="262" t="s">
        <v>47</v>
      </c>
      <c r="G16" s="257"/>
      <c r="H16" s="61" t="s">
        <v>48</v>
      </c>
      <c r="I16" s="9"/>
      <c r="J16" s="203" t="s">
        <v>49</v>
      </c>
      <c r="L16" s="256" t="s">
        <v>64</v>
      </c>
      <c r="M16" s="257"/>
      <c r="N16" s="258"/>
      <c r="O16" s="59"/>
      <c r="P16" s="3"/>
      <c r="Q16" s="59"/>
      <c r="R16" s="263"/>
      <c r="S16" s="257"/>
      <c r="T16" s="257"/>
      <c r="U16" s="201"/>
      <c r="V16" s="201"/>
      <c r="X16" s="263"/>
      <c r="Y16" s="257"/>
      <c r="Z16" s="257"/>
    </row>
    <row r="17" spans="2:28" x14ac:dyDescent="0.25">
      <c r="B17" s="145" t="s">
        <v>0</v>
      </c>
      <c r="C17" s="93" t="s">
        <v>51</v>
      </c>
      <c r="D17" s="60" t="s">
        <v>52</v>
      </c>
      <c r="E17" s="216"/>
      <c r="F17" s="145" t="s">
        <v>0</v>
      </c>
      <c r="G17" s="93" t="s">
        <v>51</v>
      </c>
      <c r="H17" s="60" t="s">
        <v>52</v>
      </c>
      <c r="I17" s="9"/>
      <c r="J17" s="64"/>
      <c r="L17" s="146" t="str">
        <f>CONCATENATE(B$2," ",L15)</f>
        <v>MPEG151-octree breakfast_track</v>
      </c>
      <c r="M17" s="147" t="str">
        <f>CONCATENATE(F$2," ",L15)</f>
        <v>MPEG151-修改上下文 breakfast_track</v>
      </c>
      <c r="N17" s="148" t="s">
        <v>53</v>
      </c>
      <c r="O17" s="2"/>
      <c r="P17" s="3" t="s">
        <v>44</v>
      </c>
      <c r="Q17" s="2"/>
      <c r="R17" s="2"/>
      <c r="S17" s="2"/>
      <c r="T17" s="2"/>
      <c r="U17" s="2"/>
      <c r="V17" s="2"/>
      <c r="X17" s="149"/>
      <c r="Y17" s="149"/>
      <c r="Z17" s="149"/>
    </row>
    <row r="18" spans="2:28" x14ac:dyDescent="0.25">
      <c r="B18" s="86" t="str">
        <f>B15</f>
        <v>breakfast_track</v>
      </c>
      <c r="C18" s="93" t="s">
        <v>54</v>
      </c>
      <c r="D18" s="217">
        <f ca="1">0.000001*INDIRECT($B18&amp;"!E5")</f>
        <v>4.6121470000000002</v>
      </c>
      <c r="E18" s="216"/>
      <c r="F18" s="86" t="str">
        <f>F15</f>
        <v>breakfast_track</v>
      </c>
      <c r="G18" s="93" t="s">
        <v>54</v>
      </c>
      <c r="H18" s="217">
        <f ca="1">0.000001*INDIRECT($B18&amp;"!AC5")</f>
        <v>4.6105029999999996</v>
      </c>
      <c r="I18" s="9"/>
      <c r="J18" s="218">
        <f ca="1">H18/D18-1</f>
        <v>-3.5645004376505529E-4</v>
      </c>
      <c r="L18" s="65">
        <f ca="1">INDIRECT($B18&amp;"!"&amp;L$3&amp;"5")</f>
        <v>0.94577999999999995</v>
      </c>
      <c r="M18" s="66">
        <f ca="1">INDIRECT($B18&amp;"!"&amp;M$3&amp;"5")</f>
        <v>0.94577754000000003</v>
      </c>
      <c r="N18" s="67">
        <f ca="1">M18-L18</f>
        <v>-2.4599999999264099E-6</v>
      </c>
      <c r="O18" s="216"/>
      <c r="P18" s="218">
        <f ca="1">bdRateExtend(D18:D22,L18:L22,H18:H22,M18:M22)</f>
        <v>-1.8682173546002989E-4</v>
      </c>
      <c r="Q18" s="216"/>
      <c r="R18" s="9"/>
      <c r="S18" s="9"/>
      <c r="T18" s="9"/>
      <c r="U18" s="9"/>
      <c r="V18" s="219"/>
      <c r="X18" s="6"/>
      <c r="Y18" s="6"/>
      <c r="Z18" s="56"/>
      <c r="AB18" s="220"/>
    </row>
    <row r="19" spans="2:28" x14ac:dyDescent="0.25">
      <c r="B19" s="86" t="str">
        <f>B18</f>
        <v>breakfast_track</v>
      </c>
      <c r="C19" s="93" t="s">
        <v>55</v>
      </c>
      <c r="D19" s="217">
        <f ca="1">0.000001*INDIRECT($B19&amp;"!E6")</f>
        <v>6.6383890000000001</v>
      </c>
      <c r="E19" s="216"/>
      <c r="F19" s="86" t="str">
        <f>F18</f>
        <v>breakfast_track</v>
      </c>
      <c r="G19" s="93" t="s">
        <v>55</v>
      </c>
      <c r="H19" s="217">
        <f ca="1">0.000001*INDIRECT($B19&amp;"!AC6")</f>
        <v>6.6367449999999995</v>
      </c>
      <c r="I19" s="9"/>
      <c r="J19" s="218">
        <f ca="1">H19/D19-1</f>
        <v>-2.4765044651653412E-4</v>
      </c>
      <c r="L19" s="65">
        <f ca="1">INDIRECT($B19&amp;"!"&amp;L$3&amp;"6")</f>
        <v>0.97032666666666667</v>
      </c>
      <c r="M19" s="66">
        <f ca="1">INDIRECT($B19&amp;"!"&amp;M$3&amp;"6")</f>
        <v>0.97032218999999997</v>
      </c>
      <c r="N19" s="67">
        <f ca="1">M19-L19</f>
        <v>-4.4766666666973265E-6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6"/>
    </row>
    <row r="20" spans="2:28" x14ac:dyDescent="0.25">
      <c r="B20" s="86" t="str">
        <f>B19</f>
        <v>breakfast_track</v>
      </c>
      <c r="C20" s="93" t="s">
        <v>56</v>
      </c>
      <c r="D20" s="217">
        <f ca="1">0.000001*INDIRECT($B20&amp;"!E7")</f>
        <v>9.5796299999999999</v>
      </c>
      <c r="E20" s="216"/>
      <c r="F20" s="86" t="str">
        <f>F19</f>
        <v>breakfast_track</v>
      </c>
      <c r="G20" s="93" t="s">
        <v>56</v>
      </c>
      <c r="H20" s="217">
        <f ca="1">0.000001*INDIRECT($B20&amp;"!AC7")</f>
        <v>9.5779859999999992</v>
      </c>
      <c r="I20" s="9"/>
      <c r="J20" s="218">
        <f ca="1">H20/D20-1</f>
        <v>-1.7161414376132278E-4</v>
      </c>
      <c r="L20" s="65">
        <f ca="1">INDIRECT($B20&amp;"!"&amp;L$3&amp;"7")</f>
        <v>0.98659333333333343</v>
      </c>
      <c r="M20" s="66">
        <f ca="1">INDIRECT($B20&amp;"!"&amp;M$3&amp;"7")</f>
        <v>0.98658572</v>
      </c>
      <c r="N20" s="67">
        <f ca="1">M20-L20</f>
        <v>-7.613333333433836E-6</v>
      </c>
      <c r="O20" s="216"/>
      <c r="P20" s="168"/>
      <c r="Q20" s="216"/>
      <c r="R20" s="9"/>
      <c r="S20" s="9"/>
      <c r="T20" s="9"/>
      <c r="U20" s="9"/>
      <c r="V20" s="219"/>
      <c r="X20" s="6"/>
      <c r="Y20" s="6"/>
      <c r="Z20" s="56"/>
    </row>
    <row r="21" spans="2:28" x14ac:dyDescent="0.25">
      <c r="B21" s="86" t="str">
        <f>B20</f>
        <v>breakfast_track</v>
      </c>
      <c r="C21" s="93" t="s">
        <v>57</v>
      </c>
      <c r="D21" s="217">
        <f ca="1">0.000001*INDIRECT($B21&amp;"!E8")</f>
        <v>13.510923999999999</v>
      </c>
      <c r="E21" s="216"/>
      <c r="F21" s="86" t="str">
        <f>F20</f>
        <v>breakfast_track</v>
      </c>
      <c r="G21" s="93" t="s">
        <v>57</v>
      </c>
      <c r="H21" s="217">
        <f ca="1">0.000001*INDIRECT($B21&amp;"!AC8")</f>
        <v>13.509279999999999</v>
      </c>
      <c r="I21" s="9"/>
      <c r="J21" s="218">
        <f ca="1">H21/D21-1</f>
        <v>-1.2167931667739218E-4</v>
      </c>
      <c r="L21" s="65">
        <f ca="1">INDIRECT($B21&amp;"!"&amp;L$3&amp;"8")</f>
        <v>0.99273333333333336</v>
      </c>
      <c r="M21" s="66">
        <f ca="1">INDIRECT($B21&amp;"!"&amp;M$3&amp;"8")</f>
        <v>0.99273785999999997</v>
      </c>
      <c r="N21" s="67">
        <f ca="1">M21-L21</f>
        <v>4.5266666666154975E-6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6"/>
    </row>
    <row r="22" spans="2:28" ht="16.5" customHeight="1" thickBot="1" x14ac:dyDescent="0.3">
      <c r="B22" s="86" t="str">
        <f>B21</f>
        <v>breakfast_track</v>
      </c>
      <c r="C22" s="93" t="s">
        <v>58</v>
      </c>
      <c r="D22" s="217">
        <f ca="1">0.000001*INDIRECT($B22&amp;"!E9")</f>
        <v>17.324469999999998</v>
      </c>
      <c r="E22" s="216"/>
      <c r="F22" s="86" t="str">
        <f>F21</f>
        <v>breakfast_track</v>
      </c>
      <c r="G22" s="93" t="s">
        <v>58</v>
      </c>
      <c r="H22" s="217">
        <f ca="1">0.000001*INDIRECT($B22&amp;"!AC9")</f>
        <v>17.322825999999999</v>
      </c>
      <c r="I22" s="9"/>
      <c r="J22" s="218">
        <f ca="1">H22/D22-1</f>
        <v>-9.4894677874601818E-5</v>
      </c>
      <c r="L22" s="65">
        <f ca="1">INDIRECT($B22&amp;"!"&amp;L$3&amp;"9")</f>
        <v>0.99438000000000004</v>
      </c>
      <c r="M22" s="66">
        <f ca="1">INDIRECT($B22&amp;"!"&amp;M$3&amp;"9")</f>
        <v>0.99438722999999996</v>
      </c>
      <c r="N22" s="67">
        <f ca="1">M22-L22</f>
        <v>7.2299999999136944E-6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6"/>
      <c r="AB22" s="220"/>
    </row>
    <row r="23" spans="2:28" ht="16.5" customHeight="1" x14ac:dyDescent="0.25">
      <c r="B23" s="80"/>
      <c r="C23" s="81"/>
      <c r="D23" s="222"/>
      <c r="F23" s="80"/>
      <c r="G23" s="81"/>
      <c r="H23" s="222"/>
      <c r="J23" s="69">
        <f ca="1">MIN(D18:D22,H18:H22)</f>
        <v>4.6105029999999996</v>
      </c>
      <c r="L23" s="70"/>
      <c r="M23" s="71"/>
      <c r="N23" s="72"/>
      <c r="O23" s="216"/>
      <c r="P23" s="205"/>
      <c r="Q23" s="216"/>
      <c r="R23" s="9"/>
      <c r="S23" s="9"/>
      <c r="T23" s="9"/>
      <c r="U23" s="9"/>
      <c r="V23" s="57"/>
      <c r="X23" s="6"/>
      <c r="Y23" s="6"/>
      <c r="Z23" s="56"/>
    </row>
    <row r="24" spans="2:28" ht="16.5" customHeight="1" thickBot="1" x14ac:dyDescent="0.3">
      <c r="B24" s="62"/>
      <c r="C24" s="63"/>
      <c r="D24" s="223"/>
      <c r="E24" s="216"/>
      <c r="F24" s="62"/>
      <c r="G24" s="63"/>
      <c r="H24" s="223"/>
      <c r="I24" s="9"/>
      <c r="J24" s="73">
        <f ca="1">MAX(D18:D22,H18:H22)</f>
        <v>17.324469999999998</v>
      </c>
      <c r="L24" s="74">
        <f>L23</f>
        <v>0</v>
      </c>
      <c r="M24" s="75">
        <f>M23</f>
        <v>0</v>
      </c>
      <c r="N24" s="68"/>
      <c r="O24" s="216"/>
      <c r="P24" s="5"/>
      <c r="Q24" s="216"/>
      <c r="R24" s="9"/>
      <c r="S24" s="9"/>
      <c r="T24" s="9"/>
      <c r="U24" s="9"/>
      <c r="V24" s="57"/>
      <c r="X24" s="58"/>
      <c r="Y24" s="58"/>
      <c r="Z24" s="56"/>
    </row>
    <row r="25" spans="2:28" ht="16.5" customHeight="1" thickBot="1" x14ac:dyDescent="0.3"/>
    <row r="26" spans="2:28" x14ac:dyDescent="0.25">
      <c r="B26" s="265" t="s">
        <v>21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205"/>
      <c r="L26" s="259" t="str">
        <f>F26</f>
        <v>cinema_track</v>
      </c>
      <c r="M26" s="260"/>
      <c r="N26" s="261"/>
      <c r="O26" s="149"/>
      <c r="P26" s="205"/>
      <c r="U26" s="206"/>
      <c r="V26" s="206"/>
      <c r="X26" s="266"/>
      <c r="Y26" s="257"/>
      <c r="Z26" s="257"/>
    </row>
    <row r="27" spans="2:28" x14ac:dyDescent="0.25">
      <c r="B27" s="262" t="s">
        <v>47</v>
      </c>
      <c r="C27" s="257"/>
      <c r="D27" s="61" t="s">
        <v>48</v>
      </c>
      <c r="E27" s="216"/>
      <c r="F27" s="262" t="s">
        <v>47</v>
      </c>
      <c r="G27" s="257"/>
      <c r="H27" s="61" t="s">
        <v>48</v>
      </c>
      <c r="I27" s="9"/>
      <c r="J27" s="203" t="s">
        <v>49</v>
      </c>
      <c r="L27" s="256" t="s">
        <v>64</v>
      </c>
      <c r="M27" s="257"/>
      <c r="N27" s="258"/>
      <c r="O27" s="59"/>
      <c r="P27" s="3"/>
      <c r="R27" s="263"/>
      <c r="S27" s="257"/>
      <c r="T27" s="257"/>
      <c r="U27" s="201"/>
      <c r="V27" s="201"/>
      <c r="X27" s="263"/>
      <c r="Y27" s="257"/>
      <c r="Z27" s="257"/>
    </row>
    <row r="28" spans="2:28" x14ac:dyDescent="0.25">
      <c r="B28" s="145" t="s">
        <v>0</v>
      </c>
      <c r="C28" s="93" t="s">
        <v>51</v>
      </c>
      <c r="D28" s="60" t="s">
        <v>52</v>
      </c>
      <c r="E28" s="216"/>
      <c r="F28" s="145" t="s">
        <v>0</v>
      </c>
      <c r="G28" s="93" t="s">
        <v>51</v>
      </c>
      <c r="H28" s="60" t="s">
        <v>52</v>
      </c>
      <c r="I28" s="9"/>
      <c r="J28" s="64"/>
      <c r="L28" s="146" t="str">
        <f>CONCATENATE(B$2," ",L26)</f>
        <v>MPEG151-octree cinema_track</v>
      </c>
      <c r="M28" s="147" t="str">
        <f>CONCATENATE(F$2," ",L26)</f>
        <v>MPEG151-修改上下文 cinema_track</v>
      </c>
      <c r="N28" s="148" t="s">
        <v>53</v>
      </c>
      <c r="O28" s="2"/>
      <c r="P28" s="3" t="s">
        <v>44</v>
      </c>
      <c r="Q28" s="2"/>
      <c r="R28" s="2"/>
      <c r="S28" s="2"/>
      <c r="T28" s="2"/>
      <c r="U28" s="2"/>
      <c r="V28" s="2"/>
      <c r="X28" s="149"/>
      <c r="Y28" s="149"/>
      <c r="Z28" s="149"/>
    </row>
    <row r="29" spans="2:28" x14ac:dyDescent="0.25">
      <c r="B29" s="86" t="str">
        <f>B26</f>
        <v>cinema_track</v>
      </c>
      <c r="C29" s="93" t="s">
        <v>54</v>
      </c>
      <c r="D29" s="217">
        <f ca="1">0.000001*INDIRECT($B29&amp;"!E5")</f>
        <v>3.4193579999999999</v>
      </c>
      <c r="E29" s="216"/>
      <c r="F29" s="86" t="str">
        <f>F26</f>
        <v>cinema_track</v>
      </c>
      <c r="G29" s="93" t="s">
        <v>54</v>
      </c>
      <c r="H29" s="217">
        <f ca="1">0.000001*INDIRECT($B29&amp;"!AC5")</f>
        <v>3.4174319999999998</v>
      </c>
      <c r="I29" s="9"/>
      <c r="J29" s="218">
        <f ca="1">H29/D29-1</f>
        <v>-5.6326363019021386E-4</v>
      </c>
      <c r="L29" s="65">
        <f ca="1">INDIRECT($B29&amp;"!"&amp;L$3&amp;"5")</f>
        <v>0.96479047619047598</v>
      </c>
      <c r="M29" s="66">
        <f ca="1">INDIRECT($B29&amp;"!"&amp;M$3&amp;"5")</f>
        <v>0.96479165</v>
      </c>
      <c r="N29" s="67">
        <f ca="1">M29-L29</f>
        <v>1.1738095240243496E-6</v>
      </c>
      <c r="O29" s="216"/>
      <c r="P29" s="218">
        <f ca="1">bdRateExtend(D29:D33,L29:L33,H29:H33,M29:M33)</f>
        <v>-2.4574441205127417E-4</v>
      </c>
      <c r="Q29" s="216"/>
      <c r="R29" s="9"/>
      <c r="S29" s="9"/>
      <c r="T29" s="9"/>
      <c r="U29" s="9"/>
      <c r="V29" s="219"/>
      <c r="X29" s="6"/>
      <c r="Y29" s="6"/>
      <c r="Z29" s="56"/>
      <c r="AB29" s="220"/>
    </row>
    <row r="30" spans="2:28" x14ac:dyDescent="0.25">
      <c r="B30" s="86" t="str">
        <f>B29</f>
        <v>cinema_track</v>
      </c>
      <c r="C30" s="93" t="s">
        <v>55</v>
      </c>
      <c r="D30" s="217">
        <f ca="1">0.000001*INDIRECT($B30&amp;"!E6")</f>
        <v>4.9536699999999998</v>
      </c>
      <c r="E30" s="216"/>
      <c r="F30" s="86" t="str">
        <f>F29</f>
        <v>cinema_track</v>
      </c>
      <c r="G30" s="93" t="s">
        <v>55</v>
      </c>
      <c r="H30" s="217">
        <f ca="1">0.000001*INDIRECT($B30&amp;"!AC6")</f>
        <v>4.9517439999999997</v>
      </c>
      <c r="I30" s="9"/>
      <c r="J30" s="218">
        <f ca="1">H30/D30-1</f>
        <v>-3.8880264531149233E-4</v>
      </c>
      <c r="L30" s="65">
        <f ca="1">INDIRECT($B30&amp;"!"&amp;L$3&amp;"6")</f>
        <v>0.98080476190476196</v>
      </c>
      <c r="M30" s="66">
        <f ca="1">INDIRECT($B30&amp;"!"&amp;M$3&amp;"6")</f>
        <v>0.98081039999999997</v>
      </c>
      <c r="N30" s="67">
        <f ca="1">M30-L30</f>
        <v>5.6380952380141736E-6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6"/>
    </row>
    <row r="31" spans="2:28" x14ac:dyDescent="0.25">
      <c r="B31" s="86" t="str">
        <f>B30</f>
        <v>cinema_track</v>
      </c>
      <c r="C31" s="93" t="s">
        <v>56</v>
      </c>
      <c r="D31" s="217">
        <f ca="1">0.000001*INDIRECT($B31&amp;"!E7")</f>
        <v>7.4311939999999996</v>
      </c>
      <c r="E31" s="216"/>
      <c r="F31" s="86" t="str">
        <f>F30</f>
        <v>cinema_track</v>
      </c>
      <c r="G31" s="93" t="s">
        <v>56</v>
      </c>
      <c r="H31" s="217">
        <f ca="1">0.000001*INDIRECT($B31&amp;"!AC7")</f>
        <v>7.4292679999999995</v>
      </c>
      <c r="I31" s="9"/>
      <c r="J31" s="218">
        <f ca="1">H31/D31-1</f>
        <v>-2.59177731061766E-4</v>
      </c>
      <c r="L31" s="65">
        <f ca="1">INDIRECT($B31&amp;"!"&amp;L$3&amp;"7")</f>
        <v>0.99094761904761897</v>
      </c>
      <c r="M31" s="66">
        <f ca="1">INDIRECT($B31&amp;"!"&amp;M$3&amp;"7")</f>
        <v>0.99094115999999999</v>
      </c>
      <c r="N31" s="67">
        <f ca="1">M31-L31</f>
        <v>-6.4590476189785306E-6</v>
      </c>
      <c r="O31" s="216"/>
      <c r="P31" s="168"/>
      <c r="Q31" s="216"/>
      <c r="R31" s="9"/>
      <c r="S31" s="9"/>
      <c r="T31" s="9"/>
      <c r="U31" s="9"/>
      <c r="V31" s="219"/>
      <c r="X31" s="6"/>
      <c r="Y31" s="6"/>
      <c r="Z31" s="56"/>
    </row>
    <row r="32" spans="2:28" x14ac:dyDescent="0.25">
      <c r="B32" s="86" t="str">
        <f>B31</f>
        <v>cinema_track</v>
      </c>
      <c r="C32" s="93" t="s">
        <v>57</v>
      </c>
      <c r="D32" s="217">
        <f ca="1">0.000001*INDIRECT($B32&amp;"!E8")</f>
        <v>10.795601999999999</v>
      </c>
      <c r="E32" s="216"/>
      <c r="F32" s="86" t="str">
        <f>F31</f>
        <v>cinema_track</v>
      </c>
      <c r="G32" s="93" t="s">
        <v>57</v>
      </c>
      <c r="H32" s="217">
        <f ca="1">0.000001*INDIRECT($B32&amp;"!AC8")</f>
        <v>10.793676</v>
      </c>
      <c r="I32" s="9"/>
      <c r="J32" s="218">
        <f ca="1">H32/D32-1</f>
        <v>-1.7840598421459131E-4</v>
      </c>
      <c r="L32" s="65">
        <f ca="1">INDIRECT($B32&amp;"!"&amp;L$3&amp;"8")</f>
        <v>0.99534285714285731</v>
      </c>
      <c r="M32" s="66">
        <f ca="1">INDIRECT($B32&amp;"!"&amp;M$3&amp;"8")</f>
        <v>0.99532989999999999</v>
      </c>
      <c r="N32" s="67">
        <f ca="1">M32-L32</f>
        <v>-1.2957142857317194E-5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6"/>
    </row>
    <row r="33" spans="2:28" ht="16.5" customHeight="1" thickBot="1" x14ac:dyDescent="0.3">
      <c r="B33" s="86" t="str">
        <f>B32</f>
        <v>cinema_track</v>
      </c>
      <c r="C33" s="93" t="s">
        <v>58</v>
      </c>
      <c r="D33" s="217">
        <f ca="1">0.000001*INDIRECT($B33&amp;"!E9")</f>
        <v>13.983369</v>
      </c>
      <c r="E33" s="216"/>
      <c r="F33" s="86" t="str">
        <f>F32</f>
        <v>cinema_track</v>
      </c>
      <c r="G33" s="93" t="s">
        <v>58</v>
      </c>
      <c r="H33" s="217">
        <f ca="1">0.000001*INDIRECT($B33&amp;"!AC9")</f>
        <v>13.981442999999999</v>
      </c>
      <c r="I33" s="9"/>
      <c r="J33" s="218">
        <f ca="1">H33/D33-1</f>
        <v>-1.377350479703221E-4</v>
      </c>
      <c r="L33" s="65">
        <f ca="1">INDIRECT($B33&amp;"!"&amp;L$3&amp;"9")</f>
        <v>0.99637619047619064</v>
      </c>
      <c r="M33" s="66">
        <f ca="1">INDIRECT($B33&amp;"!"&amp;M$3&amp;"9")</f>
        <v>0.99637193000000002</v>
      </c>
      <c r="N33" s="67">
        <f ca="1">M33-L33</f>
        <v>-4.2604761906206434E-6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6"/>
      <c r="AB33" s="220"/>
    </row>
    <row r="34" spans="2:28" ht="16.5" customHeight="1" x14ac:dyDescent="0.25">
      <c r="B34" s="80"/>
      <c r="C34" s="81"/>
      <c r="D34" s="222"/>
      <c r="F34" s="80"/>
      <c r="G34" s="81"/>
      <c r="H34" s="222"/>
      <c r="J34" s="69">
        <f ca="1">MIN(D29:D33,H29:H33)</f>
        <v>3.4174319999999998</v>
      </c>
      <c r="L34" s="70"/>
      <c r="M34" s="71"/>
      <c r="N34" s="72"/>
      <c r="O34" s="216"/>
      <c r="P34" s="205"/>
      <c r="Q34" s="216"/>
      <c r="R34" s="9"/>
      <c r="S34" s="9"/>
      <c r="T34" s="9"/>
      <c r="U34" s="9"/>
      <c r="V34" s="57"/>
      <c r="X34" s="6"/>
      <c r="Y34" s="6"/>
      <c r="Z34" s="56"/>
    </row>
    <row r="35" spans="2:28" ht="16.5" customHeight="1" thickBot="1" x14ac:dyDescent="0.3">
      <c r="B35" s="62"/>
      <c r="C35" s="63"/>
      <c r="D35" s="223"/>
      <c r="E35" s="216"/>
      <c r="F35" s="62"/>
      <c r="G35" s="63"/>
      <c r="H35" s="223"/>
      <c r="I35" s="9"/>
      <c r="J35" s="73">
        <f ca="1">MAX(D29:D33,H29:H33)</f>
        <v>13.983369</v>
      </c>
      <c r="L35" s="74">
        <f>L34</f>
        <v>0</v>
      </c>
      <c r="M35" s="75">
        <f>M34</f>
        <v>0</v>
      </c>
      <c r="N35" s="68"/>
      <c r="O35" s="216"/>
      <c r="P35" s="5"/>
      <c r="Q35" s="216"/>
      <c r="R35" s="9"/>
      <c r="S35" s="9"/>
      <c r="T35" s="9"/>
      <c r="U35" s="9"/>
      <c r="V35" s="57"/>
      <c r="X35" s="58"/>
      <c r="Y35" s="58"/>
      <c r="Z35" s="56"/>
    </row>
    <row r="36" spans="2:28" ht="16.5" customHeight="1" thickBot="1" x14ac:dyDescent="0.3"/>
    <row r="37" spans="2:28" x14ac:dyDescent="0.25">
      <c r="B37" s="265" t="s">
        <v>24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205"/>
      <c r="L37" s="259" t="str">
        <f>F37</f>
        <v>ManWithFruit</v>
      </c>
      <c r="M37" s="260"/>
      <c r="N37" s="261"/>
      <c r="O37" s="149"/>
      <c r="P37" s="205"/>
      <c r="U37" s="206"/>
      <c r="V37" s="206"/>
      <c r="X37" s="266"/>
      <c r="Y37" s="257"/>
      <c r="Z37" s="257"/>
    </row>
    <row r="38" spans="2:28" x14ac:dyDescent="0.25">
      <c r="B38" s="262" t="s">
        <v>47</v>
      </c>
      <c r="C38" s="257"/>
      <c r="D38" s="61" t="s">
        <v>48</v>
      </c>
      <c r="E38" s="216"/>
      <c r="F38" s="262" t="s">
        <v>47</v>
      </c>
      <c r="G38" s="257"/>
      <c r="H38" s="61" t="s">
        <v>48</v>
      </c>
      <c r="I38" s="9"/>
      <c r="J38" s="203" t="s">
        <v>49</v>
      </c>
      <c r="L38" s="256" t="s">
        <v>64</v>
      </c>
      <c r="M38" s="257"/>
      <c r="N38" s="258"/>
      <c r="O38" s="59"/>
      <c r="P38" s="3"/>
      <c r="R38" s="263"/>
      <c r="S38" s="257"/>
      <c r="T38" s="257"/>
      <c r="U38" s="201"/>
      <c r="V38" s="201"/>
      <c r="X38" s="263"/>
      <c r="Y38" s="257"/>
      <c r="Z38" s="257"/>
    </row>
    <row r="39" spans="2:28" x14ac:dyDescent="0.25">
      <c r="B39" s="145" t="s">
        <v>0</v>
      </c>
      <c r="C39" s="93" t="s">
        <v>51</v>
      </c>
      <c r="D39" s="60" t="s">
        <v>52</v>
      </c>
      <c r="E39" s="216"/>
      <c r="F39" s="145" t="s">
        <v>0</v>
      </c>
      <c r="G39" s="93" t="s">
        <v>51</v>
      </c>
      <c r="H39" s="60" t="s">
        <v>52</v>
      </c>
      <c r="I39" s="9"/>
      <c r="J39" s="64"/>
      <c r="L39" s="146" t="str">
        <f>CONCATENATE(B$2," ",L37)</f>
        <v>MPEG151-octree ManWithFruit</v>
      </c>
      <c r="M39" s="147" t="str">
        <f>CONCATENATE(F$2," ",L37)</f>
        <v>MPEG151-修改上下文 ManWithFruit</v>
      </c>
      <c r="N39" s="148" t="s">
        <v>53</v>
      </c>
      <c r="O39" s="2"/>
      <c r="P39" s="3" t="s">
        <v>44</v>
      </c>
      <c r="Q39" s="2"/>
      <c r="R39" s="2"/>
      <c r="S39" s="2"/>
      <c r="T39" s="2"/>
      <c r="U39" s="2"/>
      <c r="V39" s="2"/>
      <c r="X39" s="149"/>
      <c r="Y39" s="149"/>
      <c r="Z39" s="149"/>
    </row>
    <row r="40" spans="2:28" x14ac:dyDescent="0.25">
      <c r="B40" s="86" t="str">
        <f>B37</f>
        <v>ManWithFruit</v>
      </c>
      <c r="C40" s="93" t="s">
        <v>54</v>
      </c>
      <c r="D40" s="217">
        <f ca="1">0.000001*INDIRECT($B40&amp;"!E5")</f>
        <v>0.356817</v>
      </c>
      <c r="E40" s="216"/>
      <c r="F40" s="86" t="str">
        <f>F37</f>
        <v>ManWithFruit</v>
      </c>
      <c r="G40" s="93" t="s">
        <v>54</v>
      </c>
      <c r="H40" s="217">
        <f ca="1">0.000001*INDIRECT($B40&amp;"!AC5")</f>
        <v>0.35676799999999997</v>
      </c>
      <c r="I40" s="9"/>
      <c r="J40" s="218">
        <f ca="1">H40/D40-1</f>
        <v>-1.3732529559973283E-4</v>
      </c>
      <c r="L40" s="65">
        <f ca="1">INDIRECT($B40&amp;"!"&amp;L$3&amp;"5")</f>
        <v>0.99697083333333325</v>
      </c>
      <c r="M40" s="66">
        <f ca="1">INDIRECT($B40&amp;"!"&amp;M$3&amp;"5")</f>
        <v>0.99697460999999998</v>
      </c>
      <c r="N40" s="67">
        <f ca="1">M40-L40</f>
        <v>3.7766666667327087E-6</v>
      </c>
      <c r="O40" s="216"/>
      <c r="P40" s="218">
        <f ca="1">bdRateExtend(D40:D44,L40:L44,H40:H44,M40:M44)</f>
        <v>-4.4850403804570504E-3</v>
      </c>
      <c r="Q40" s="216"/>
      <c r="R40" s="9"/>
      <c r="S40" s="9"/>
      <c r="T40" s="9"/>
      <c r="U40" s="9"/>
      <c r="V40" s="219"/>
      <c r="X40" s="6"/>
      <c r="Y40" s="6"/>
      <c r="Z40" s="56"/>
      <c r="AB40" s="220"/>
    </row>
    <row r="41" spans="2:28" x14ac:dyDescent="0.25">
      <c r="B41" s="86" t="str">
        <f>B40</f>
        <v>ManWithFruit</v>
      </c>
      <c r="C41" s="93" t="s">
        <v>55</v>
      </c>
      <c r="D41" s="217">
        <f ca="1">0.000001*INDIRECT($B41&amp;"!E6")</f>
        <v>0.45023299999999999</v>
      </c>
      <c r="E41" s="216"/>
      <c r="F41" s="86" t="str">
        <f>F40</f>
        <v>ManWithFruit</v>
      </c>
      <c r="G41" s="93" t="s">
        <v>55</v>
      </c>
      <c r="H41" s="217">
        <f ca="1">0.000001*INDIRECT($B41&amp;"!AC6")</f>
        <v>0.45018399999999997</v>
      </c>
      <c r="I41" s="9"/>
      <c r="J41" s="218">
        <f ca="1">H41/D41-1</f>
        <v>-1.0883253781934776E-4</v>
      </c>
      <c r="L41" s="65">
        <f ca="1">INDIRECT($B41&amp;"!"&amp;L$3&amp;"6")</f>
        <v>0.9982625000000005</v>
      </c>
      <c r="M41" s="66">
        <f ca="1">INDIRECT($B41&amp;"!"&amp;M$3&amp;"6")</f>
        <v>0.99827292000000001</v>
      </c>
      <c r="N41" s="67">
        <f ca="1">M41-L41</f>
        <v>1.0419999999511376E-5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6"/>
    </row>
    <row r="42" spans="2:28" x14ac:dyDescent="0.25">
      <c r="B42" s="86" t="str">
        <f>B41</f>
        <v>ManWithFruit</v>
      </c>
      <c r="C42" s="93" t="s">
        <v>56</v>
      </c>
      <c r="D42" s="217">
        <f ca="1">0.000001*INDIRECT($B42&amp;"!E7")</f>
        <v>0.573882</v>
      </c>
      <c r="E42" s="216"/>
      <c r="F42" s="86" t="str">
        <f>F41</f>
        <v>ManWithFruit</v>
      </c>
      <c r="G42" s="93" t="s">
        <v>56</v>
      </c>
      <c r="H42" s="217">
        <f ca="1">0.000001*INDIRECT($B42&amp;"!AC7")</f>
        <v>0.57383299999999993</v>
      </c>
      <c r="I42" s="9"/>
      <c r="J42" s="218">
        <f ca="1">H42/D42-1</f>
        <v>-8.5383406345007629E-5</v>
      </c>
      <c r="L42" s="65">
        <f ca="1">INDIRECT($B42&amp;"!"&amp;L$3&amp;"7")</f>
        <v>0.99859999999999982</v>
      </c>
      <c r="M42" s="66">
        <f ca="1">INDIRECT($B42&amp;"!"&amp;M$3&amp;"7")</f>
        <v>0.99861007000000002</v>
      </c>
      <c r="N42" s="67">
        <f ca="1">M42-L42</f>
        <v>1.0070000000195201E-5</v>
      </c>
      <c r="O42" s="216"/>
      <c r="P42" s="168"/>
      <c r="Q42" s="216"/>
      <c r="R42" s="9"/>
      <c r="S42" s="9"/>
      <c r="T42" s="9"/>
      <c r="U42" s="9"/>
      <c r="V42" s="219"/>
      <c r="X42" s="6"/>
      <c r="Y42" s="6"/>
      <c r="Z42" s="56"/>
    </row>
    <row r="43" spans="2:28" x14ac:dyDescent="0.25">
      <c r="B43" s="86" t="str">
        <f>B42</f>
        <v>ManWithFruit</v>
      </c>
      <c r="C43" s="93" t="s">
        <v>57</v>
      </c>
      <c r="D43" s="217">
        <f ca="1">0.000001*INDIRECT($B43&amp;"!E8")</f>
        <v>0.79003299999999999</v>
      </c>
      <c r="E43" s="216"/>
      <c r="F43" s="86" t="str">
        <f>F42</f>
        <v>ManWithFruit</v>
      </c>
      <c r="G43" s="93" t="s">
        <v>57</v>
      </c>
      <c r="H43" s="217">
        <f ca="1">0.000001*INDIRECT($B43&amp;"!AC8")</f>
        <v>0.78998400000000002</v>
      </c>
      <c r="I43" s="9"/>
      <c r="J43" s="218">
        <f ca="1">H43/D43-1</f>
        <v>-6.2022725632937536E-5</v>
      </c>
      <c r="L43" s="65">
        <f ca="1">INDIRECT($B43&amp;"!"&amp;L$3&amp;"8")</f>
        <v>0.99888333333333279</v>
      </c>
      <c r="M43" s="66">
        <f ca="1">INDIRECT($B43&amp;"!"&amp;M$3&amp;"8")</f>
        <v>0.99889271999999996</v>
      </c>
      <c r="N43" s="67">
        <f ca="1">M43-L43</f>
        <v>9.3866666671660326E-6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6"/>
    </row>
    <row r="44" spans="2:28" ht="16.5" customHeight="1" thickBot="1" x14ac:dyDescent="0.3">
      <c r="B44" s="86" t="str">
        <f>B43</f>
        <v>ManWithFruit</v>
      </c>
      <c r="C44" s="93" t="s">
        <v>58</v>
      </c>
      <c r="D44" s="217">
        <f ca="1">0.000001*INDIRECT($B44&amp;"!E9")</f>
        <v>1.0632569999999999</v>
      </c>
      <c r="E44" s="216"/>
      <c r="F44" s="86" t="str">
        <f>F43</f>
        <v>ManWithFruit</v>
      </c>
      <c r="G44" s="93" t="s">
        <v>58</v>
      </c>
      <c r="H44" s="217">
        <f ca="1">0.000001*INDIRECT($B44&amp;"!AC9")</f>
        <v>1.0632079999999999</v>
      </c>
      <c r="I44" s="9"/>
      <c r="J44" s="218">
        <f ca="1">H44/D44-1</f>
        <v>-4.6084812984958923E-5</v>
      </c>
      <c r="L44" s="65">
        <f ca="1">INDIRECT($B44&amp;"!"&amp;L$3&amp;"9")</f>
        <v>0.99902083333333314</v>
      </c>
      <c r="M44" s="66">
        <f ca="1">INDIRECT($B44&amp;"!"&amp;M$3&amp;"9")</f>
        <v>0.99901786999999997</v>
      </c>
      <c r="N44" s="67">
        <f ca="1">M44-L44</f>
        <v>-2.9633333331613443E-6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6"/>
      <c r="AB44" s="220"/>
    </row>
    <row r="45" spans="2:28" ht="16.5" customHeight="1" x14ac:dyDescent="0.25">
      <c r="B45" s="80"/>
      <c r="C45" s="81"/>
      <c r="D45" s="222"/>
      <c r="F45" s="80"/>
      <c r="G45" s="81"/>
      <c r="H45" s="222"/>
      <c r="J45" s="69">
        <f ca="1">MIN(D40:D44,H40:H44)</f>
        <v>0.35676799999999997</v>
      </c>
      <c r="L45" s="70"/>
      <c r="M45" s="71"/>
      <c r="N45" s="72"/>
      <c r="O45" s="216"/>
      <c r="P45" s="205"/>
      <c r="Q45" s="216"/>
      <c r="R45" s="9"/>
      <c r="S45" s="9"/>
      <c r="T45" s="9"/>
      <c r="U45" s="9"/>
      <c r="V45" s="57"/>
      <c r="X45" s="6"/>
      <c r="Y45" s="6"/>
      <c r="Z45" s="56"/>
    </row>
    <row r="46" spans="2:28" ht="16.5" customHeight="1" thickBot="1" x14ac:dyDescent="0.3">
      <c r="B46" s="62"/>
      <c r="C46" s="63"/>
      <c r="D46" s="223"/>
      <c r="E46" s="216"/>
      <c r="F46" s="62"/>
      <c r="G46" s="63"/>
      <c r="H46" s="223"/>
      <c r="I46" s="9"/>
      <c r="J46" s="73">
        <f ca="1">MAX(D40:D44,H40:H44)</f>
        <v>1.0632569999999999</v>
      </c>
      <c r="L46" s="74">
        <f>L45</f>
        <v>0</v>
      </c>
      <c r="M46" s="75">
        <f>M45</f>
        <v>0</v>
      </c>
      <c r="N46" s="68"/>
      <c r="O46" s="216"/>
      <c r="P46" s="5"/>
      <c r="Q46" s="216"/>
      <c r="R46" s="9"/>
      <c r="S46" s="9"/>
      <c r="T46" s="9"/>
      <c r="U46" s="9"/>
      <c r="V46" s="57"/>
      <c r="X46" s="58"/>
      <c r="Y46" s="58"/>
      <c r="Z46" s="56"/>
    </row>
    <row r="47" spans="2:28" ht="16.5" customHeight="1" thickBot="1" x14ac:dyDescent="0.3"/>
    <row r="48" spans="2:28" x14ac:dyDescent="0.25">
      <c r="B48" s="265" t="s">
        <v>25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205"/>
      <c r="L48" s="259" t="str">
        <f>F48</f>
        <v>LEGO_Ferrari</v>
      </c>
      <c r="M48" s="260"/>
      <c r="N48" s="261"/>
      <c r="O48" s="149"/>
      <c r="P48" s="205"/>
      <c r="U48" s="206"/>
      <c r="V48" s="206"/>
      <c r="X48" s="266"/>
      <c r="Y48" s="257"/>
      <c r="Z48" s="257"/>
    </row>
    <row r="49" spans="2:28" x14ac:dyDescent="0.25">
      <c r="B49" s="262" t="s">
        <v>47</v>
      </c>
      <c r="C49" s="257"/>
      <c r="D49" s="61" t="s">
        <v>48</v>
      </c>
      <c r="E49" s="216"/>
      <c r="F49" s="262" t="s">
        <v>47</v>
      </c>
      <c r="G49" s="257"/>
      <c r="H49" s="61" t="s">
        <v>48</v>
      </c>
      <c r="I49" s="9"/>
      <c r="J49" s="203" t="s">
        <v>49</v>
      </c>
      <c r="L49" s="256" t="s">
        <v>64</v>
      </c>
      <c r="M49" s="257"/>
      <c r="N49" s="258"/>
      <c r="O49" s="59"/>
      <c r="P49" s="3"/>
      <c r="R49" s="263"/>
      <c r="S49" s="257"/>
      <c r="T49" s="257"/>
      <c r="U49" s="201"/>
      <c r="V49" s="201"/>
      <c r="X49" s="263"/>
      <c r="Y49" s="257"/>
      <c r="Z49" s="257"/>
    </row>
    <row r="50" spans="2:28" x14ac:dyDescent="0.25">
      <c r="B50" s="145" t="s">
        <v>0</v>
      </c>
      <c r="C50" s="93" t="s">
        <v>51</v>
      </c>
      <c r="D50" s="60" t="s">
        <v>52</v>
      </c>
      <c r="E50" s="216"/>
      <c r="F50" s="145" t="s">
        <v>0</v>
      </c>
      <c r="G50" s="93" t="s">
        <v>51</v>
      </c>
      <c r="H50" s="60" t="s">
        <v>52</v>
      </c>
      <c r="I50" s="9"/>
      <c r="J50" s="64"/>
      <c r="L50" s="146" t="str">
        <f>CONCATENATE(B$2," ",L48)</f>
        <v>MPEG151-octree LEGO_Ferrari</v>
      </c>
      <c r="M50" s="147" t="str">
        <f>CONCATENATE(F$2," ",L48)</f>
        <v>MPEG151-修改上下文 LEGO_Ferrari</v>
      </c>
      <c r="N50" s="148" t="s">
        <v>53</v>
      </c>
      <c r="O50" s="2"/>
      <c r="P50" s="3" t="s">
        <v>44</v>
      </c>
      <c r="Q50" s="2"/>
      <c r="R50" s="2"/>
      <c r="S50" s="2"/>
      <c r="T50" s="2"/>
      <c r="U50" s="2"/>
      <c r="V50" s="2"/>
      <c r="X50" s="149"/>
      <c r="Y50" s="149"/>
      <c r="Z50" s="149"/>
    </row>
    <row r="51" spans="2:28" x14ac:dyDescent="0.25">
      <c r="B51" s="86" t="str">
        <f>B48</f>
        <v>LEGO_Ferrari</v>
      </c>
      <c r="C51" s="93" t="s">
        <v>54</v>
      </c>
      <c r="D51" s="217" t="e">
        <f ca="1">0.000001*INDIRECT($B51&amp;"!E5")</f>
        <v>#VALUE!</v>
      </c>
      <c r="E51" s="216"/>
      <c r="F51" s="86" t="str">
        <f>F48</f>
        <v>LEGO_Ferrari</v>
      </c>
      <c r="G51" s="93" t="s">
        <v>54</v>
      </c>
      <c r="H51" s="217" t="e">
        <f ca="1">0.000001*INDIRECT($B51&amp;"!AC5")</f>
        <v>#VALUE!</v>
      </c>
      <c r="I51" s="9"/>
      <c r="J51" s="218" t="e">
        <f ca="1">H51/D51-1</f>
        <v>#VALUE!</v>
      </c>
      <c r="L51" s="65" t="str">
        <f ca="1">INDIRECT($B51&amp;"!"&amp;L$3&amp;"5")</f>
        <v/>
      </c>
      <c r="M51" s="66" t="str">
        <f ca="1">INDIRECT($B51&amp;"!"&amp;M$3&amp;"5")</f>
        <v/>
      </c>
      <c r="N51" s="67" t="e">
        <f ca="1">M51-L51</f>
        <v>#VALUE!</v>
      </c>
      <c r="O51" s="216"/>
      <c r="P51" s="218" t="e">
        <f ca="1">bdRateExtend(D51:D55,L51:L55,H51:H55,M51:M55)</f>
        <v>#VALUE!</v>
      </c>
      <c r="Q51" s="216"/>
      <c r="R51" s="9"/>
      <c r="S51" s="9"/>
      <c r="T51" s="9"/>
      <c r="U51" s="9"/>
      <c r="V51" s="219"/>
      <c r="X51" s="6"/>
      <c r="Y51" s="6"/>
      <c r="Z51" s="56"/>
      <c r="AB51" s="220"/>
    </row>
    <row r="52" spans="2:28" x14ac:dyDescent="0.25">
      <c r="B52" s="86" t="str">
        <f>B51</f>
        <v>LEGO_Ferrari</v>
      </c>
      <c r="C52" s="93" t="s">
        <v>55</v>
      </c>
      <c r="D52" s="217" t="e">
        <f ca="1">0.000001*INDIRECT($B52&amp;"!E6")</f>
        <v>#VALUE!</v>
      </c>
      <c r="E52" s="216"/>
      <c r="F52" s="86" t="str">
        <f>F51</f>
        <v>LEGO_Ferrari</v>
      </c>
      <c r="G52" s="93" t="s">
        <v>55</v>
      </c>
      <c r="H52" s="217" t="e">
        <f ca="1">0.000001*INDIRECT($B52&amp;"!AC6")</f>
        <v>#VALUE!</v>
      </c>
      <c r="I52" s="9"/>
      <c r="J52" s="218" t="e">
        <f ca="1">H52/D52-1</f>
        <v>#VALUE!</v>
      </c>
      <c r="L52" s="65" t="str">
        <f ca="1">INDIRECT($B52&amp;"!"&amp;L$3&amp;"6")</f>
        <v/>
      </c>
      <c r="M52" s="66" t="str">
        <f ca="1">INDIRECT($B52&amp;"!"&amp;M$3&amp;"6")</f>
        <v/>
      </c>
      <c r="N52" s="67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6"/>
    </row>
    <row r="53" spans="2:28" x14ac:dyDescent="0.25">
      <c r="B53" s="86" t="str">
        <f>B52</f>
        <v>LEGO_Ferrari</v>
      </c>
      <c r="C53" s="93" t="s">
        <v>56</v>
      </c>
      <c r="D53" s="217" t="e">
        <f ca="1">0.000001*INDIRECT($B53&amp;"!E7")</f>
        <v>#VALUE!</v>
      </c>
      <c r="E53" s="216"/>
      <c r="F53" s="86" t="str">
        <f>F52</f>
        <v>LEGO_Ferrari</v>
      </c>
      <c r="G53" s="93" t="s">
        <v>56</v>
      </c>
      <c r="H53" s="217" t="e">
        <f ca="1">0.000001*INDIRECT($B53&amp;"!AC7")</f>
        <v>#VALUE!</v>
      </c>
      <c r="I53" s="9"/>
      <c r="J53" s="218" t="e">
        <f ca="1">H53/D53-1</f>
        <v>#VALUE!</v>
      </c>
      <c r="L53" s="65" t="str">
        <f ca="1">INDIRECT($B53&amp;"!"&amp;L$3&amp;"7")</f>
        <v/>
      </c>
      <c r="M53" s="66" t="str">
        <f ca="1">INDIRECT($B53&amp;"!"&amp;M$3&amp;"7")</f>
        <v/>
      </c>
      <c r="N53" s="67" t="e">
        <f ca="1">M53-L53</f>
        <v>#VALUE!</v>
      </c>
      <c r="O53" s="216"/>
      <c r="P53" s="168"/>
      <c r="Q53" s="216"/>
      <c r="R53" s="9"/>
      <c r="S53" s="9"/>
      <c r="T53" s="9"/>
      <c r="U53" s="9"/>
      <c r="V53" s="219"/>
      <c r="X53" s="6"/>
      <c r="Y53" s="6"/>
      <c r="Z53" s="56"/>
    </row>
    <row r="54" spans="2:28" x14ac:dyDescent="0.25">
      <c r="B54" s="86" t="str">
        <f>B53</f>
        <v>LEGO_Ferrari</v>
      </c>
      <c r="C54" s="93" t="s">
        <v>57</v>
      </c>
      <c r="D54" s="217" t="e">
        <f ca="1">0.000001*INDIRECT($B54&amp;"!E8")</f>
        <v>#VALUE!</v>
      </c>
      <c r="E54" s="216"/>
      <c r="F54" s="86" t="str">
        <f>F53</f>
        <v>LEGO_Ferrari</v>
      </c>
      <c r="G54" s="93" t="s">
        <v>57</v>
      </c>
      <c r="H54" s="217" t="e">
        <f ca="1">0.000001*INDIRECT($B54&amp;"!AC8")</f>
        <v>#VALUE!</v>
      </c>
      <c r="I54" s="9"/>
      <c r="J54" s="218" t="e">
        <f ca="1">H54/D54-1</f>
        <v>#VALUE!</v>
      </c>
      <c r="L54" s="65" t="str">
        <f ca="1">INDIRECT($B54&amp;"!"&amp;L$3&amp;"8")</f>
        <v/>
      </c>
      <c r="M54" s="66" t="str">
        <f ca="1">INDIRECT($B54&amp;"!"&amp;M$3&amp;"8")</f>
        <v/>
      </c>
      <c r="N54" s="67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6"/>
    </row>
    <row r="55" spans="2:28" ht="16.5" customHeight="1" thickBot="1" x14ac:dyDescent="0.3">
      <c r="B55" s="86" t="str">
        <f>B54</f>
        <v>LEGO_Ferrari</v>
      </c>
      <c r="C55" s="93" t="s">
        <v>58</v>
      </c>
      <c r="D55" s="217" t="e">
        <f ca="1">0.000001*INDIRECT($B55&amp;"!E9")</f>
        <v>#VALUE!</v>
      </c>
      <c r="E55" s="216"/>
      <c r="F55" s="86" t="str">
        <f>F54</f>
        <v>LEGO_Ferrari</v>
      </c>
      <c r="G55" s="93" t="s">
        <v>58</v>
      </c>
      <c r="H55" s="217" t="e">
        <f ca="1">0.000001*INDIRECT($B55&amp;"!AC9")</f>
        <v>#VALUE!</v>
      </c>
      <c r="I55" s="9"/>
      <c r="J55" s="218" t="e">
        <f ca="1">H55/D55-1</f>
        <v>#VALUE!</v>
      </c>
      <c r="L55" s="65" t="str">
        <f ca="1">INDIRECT($B55&amp;"!"&amp;L$3&amp;"9")</f>
        <v/>
      </c>
      <c r="M55" s="66" t="str">
        <f ca="1">INDIRECT($B55&amp;"!"&amp;M$3&amp;"9")</f>
        <v/>
      </c>
      <c r="N55" s="67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6"/>
      <c r="AB55" s="220"/>
    </row>
    <row r="56" spans="2:28" ht="16.5" customHeight="1" x14ac:dyDescent="0.25">
      <c r="B56" s="80"/>
      <c r="C56" s="81"/>
      <c r="D56" s="222"/>
      <c r="F56" s="80"/>
      <c r="G56" s="81"/>
      <c r="H56" s="222"/>
      <c r="J56" s="69" t="e">
        <f ca="1">MIN(D51:D55,H51:H55)</f>
        <v>#VALUE!</v>
      </c>
      <c r="L56" s="70"/>
      <c r="M56" s="71"/>
      <c r="N56" s="72"/>
      <c r="O56" s="216"/>
      <c r="P56" s="205"/>
      <c r="Q56" s="216"/>
      <c r="R56" s="9"/>
      <c r="S56" s="9"/>
      <c r="T56" s="9"/>
      <c r="U56" s="9"/>
      <c r="V56" s="57"/>
      <c r="X56" s="6"/>
      <c r="Y56" s="6"/>
      <c r="Z56" s="56"/>
    </row>
    <row r="57" spans="2:28" ht="16.5" customHeight="1" thickBot="1" x14ac:dyDescent="0.3">
      <c r="B57" s="62"/>
      <c r="C57" s="63"/>
      <c r="D57" s="223"/>
      <c r="E57" s="216"/>
      <c r="F57" s="62"/>
      <c r="G57" s="63"/>
      <c r="H57" s="223"/>
      <c r="I57" s="9"/>
      <c r="J57" s="73" t="e">
        <f ca="1">MAX(D51:D55,H51:H55)</f>
        <v>#VALUE!</v>
      </c>
      <c r="L57" s="74">
        <f>L56</f>
        <v>0</v>
      </c>
      <c r="M57" s="75">
        <f>M56</f>
        <v>0</v>
      </c>
      <c r="N57" s="68"/>
      <c r="O57" s="216"/>
      <c r="P57" s="5"/>
      <c r="Q57" s="216"/>
      <c r="R57" s="9"/>
      <c r="S57" s="9"/>
      <c r="T57" s="9"/>
      <c r="U57" s="9"/>
      <c r="V57" s="57"/>
      <c r="X57" s="58"/>
      <c r="Y57" s="58"/>
      <c r="Z57" s="56"/>
    </row>
    <row r="58" spans="2:28" ht="16.5" customHeight="1" thickBot="1" x14ac:dyDescent="0.3"/>
    <row r="59" spans="2:28" x14ac:dyDescent="0.25">
      <c r="B59" s="265" t="s">
        <v>26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205"/>
      <c r="L59" s="259" t="str">
        <f>F59</f>
        <v>LEGO_Bugatti</v>
      </c>
      <c r="M59" s="260"/>
      <c r="N59" s="261"/>
      <c r="O59" s="149"/>
      <c r="P59" s="205"/>
      <c r="U59" s="206"/>
      <c r="V59" s="206"/>
      <c r="X59" s="266"/>
      <c r="Y59" s="257"/>
      <c r="Z59" s="257"/>
    </row>
    <row r="60" spans="2:28" x14ac:dyDescent="0.25">
      <c r="B60" s="262" t="s">
        <v>47</v>
      </c>
      <c r="C60" s="257"/>
      <c r="D60" s="61" t="s">
        <v>48</v>
      </c>
      <c r="E60" s="216"/>
      <c r="F60" s="262" t="s">
        <v>47</v>
      </c>
      <c r="G60" s="257"/>
      <c r="H60" s="61" t="s">
        <v>48</v>
      </c>
      <c r="I60" s="9"/>
      <c r="J60" s="203" t="s">
        <v>49</v>
      </c>
      <c r="L60" s="256" t="s">
        <v>64</v>
      </c>
      <c r="M60" s="257"/>
      <c r="N60" s="258"/>
      <c r="O60" s="59"/>
      <c r="P60" s="3"/>
      <c r="R60" s="263"/>
      <c r="S60" s="257"/>
      <c r="T60" s="257"/>
      <c r="U60" s="201"/>
      <c r="V60" s="201"/>
      <c r="X60" s="263"/>
      <c r="Y60" s="257"/>
      <c r="Z60" s="257"/>
    </row>
    <row r="61" spans="2:28" x14ac:dyDescent="0.25">
      <c r="B61" s="145" t="s">
        <v>0</v>
      </c>
      <c r="C61" s="93" t="s">
        <v>51</v>
      </c>
      <c r="D61" s="60" t="s">
        <v>52</v>
      </c>
      <c r="E61" s="216"/>
      <c r="F61" s="145" t="s">
        <v>0</v>
      </c>
      <c r="G61" s="93" t="s">
        <v>51</v>
      </c>
      <c r="H61" s="60" t="s">
        <v>52</v>
      </c>
      <c r="I61" s="9"/>
      <c r="J61" s="64"/>
      <c r="L61" s="146" t="str">
        <f>CONCATENATE(B$2," ",L59)</f>
        <v>MPEG151-octree LEGO_Bugatti</v>
      </c>
      <c r="M61" s="147" t="str">
        <f>CONCATENATE(F$2," ",L59)</f>
        <v>MPEG151-修改上下文 LEGO_Bugatti</v>
      </c>
      <c r="N61" s="148" t="s">
        <v>53</v>
      </c>
      <c r="O61" s="2"/>
      <c r="P61" s="3" t="s">
        <v>44</v>
      </c>
      <c r="Q61" s="2"/>
      <c r="R61" s="2"/>
      <c r="S61" s="2"/>
      <c r="T61" s="2"/>
      <c r="U61" s="2"/>
      <c r="V61" s="2"/>
      <c r="X61" s="149"/>
      <c r="Y61" s="149"/>
      <c r="Z61" s="149"/>
    </row>
    <row r="62" spans="2:28" x14ac:dyDescent="0.25">
      <c r="B62" s="86" t="str">
        <f>B59</f>
        <v>LEGO_Bugatti</v>
      </c>
      <c r="C62" s="93" t="s">
        <v>54</v>
      </c>
      <c r="D62" s="217" t="e">
        <f ca="1">0.000001*INDIRECT($B62&amp;"!E5")</f>
        <v>#VALUE!</v>
      </c>
      <c r="E62" s="216"/>
      <c r="F62" s="86" t="str">
        <f>F59</f>
        <v>LEGO_Bugatti</v>
      </c>
      <c r="G62" s="93" t="s">
        <v>54</v>
      </c>
      <c r="H62" s="217" t="e">
        <f ca="1">0.000001*INDIRECT($B62&amp;"!AC5")</f>
        <v>#VALUE!</v>
      </c>
      <c r="I62" s="9"/>
      <c r="J62" s="218" t="e">
        <f ca="1">H62/D62-1</f>
        <v>#VALUE!</v>
      </c>
      <c r="L62" s="65" t="str">
        <f ca="1">INDIRECT($B62&amp;"!"&amp;L$3&amp;"5")</f>
        <v/>
      </c>
      <c r="M62" s="66" t="str">
        <f ca="1">INDIRECT($B62&amp;"!"&amp;M$3&amp;"5")</f>
        <v/>
      </c>
      <c r="N62" s="67" t="e">
        <f ca="1">M62-L62</f>
        <v>#VALUE!</v>
      </c>
      <c r="O62" s="216"/>
      <c r="P62" s="218" t="e">
        <f ca="1">bdRateExtend(D62:D66,L62:L66,H62:H66,M62:M66)</f>
        <v>#VALUE!</v>
      </c>
      <c r="Q62" s="216"/>
      <c r="R62" s="9"/>
      <c r="S62" s="9"/>
      <c r="T62" s="9"/>
      <c r="U62" s="9"/>
      <c r="V62" s="219"/>
      <c r="X62" s="6"/>
      <c r="Y62" s="6"/>
      <c r="Z62" s="56"/>
      <c r="AB62" s="220"/>
    </row>
    <row r="63" spans="2:28" x14ac:dyDescent="0.25">
      <c r="B63" s="86" t="str">
        <f>B62</f>
        <v>LEGO_Bugatti</v>
      </c>
      <c r="C63" s="93" t="s">
        <v>55</v>
      </c>
      <c r="D63" s="217" t="e">
        <f ca="1">0.000001*INDIRECT($B63&amp;"!E6")</f>
        <v>#VALUE!</v>
      </c>
      <c r="E63" s="216"/>
      <c r="F63" s="86" t="str">
        <f>F62</f>
        <v>LEGO_Bugatti</v>
      </c>
      <c r="G63" s="93" t="s">
        <v>55</v>
      </c>
      <c r="H63" s="217" t="e">
        <f ca="1">0.000001*INDIRECT($B63&amp;"!AC6")</f>
        <v>#VALUE!</v>
      </c>
      <c r="I63" s="9"/>
      <c r="J63" s="218" t="e">
        <f ca="1">H63/D63-1</f>
        <v>#VALUE!</v>
      </c>
      <c r="L63" s="65" t="str">
        <f ca="1">INDIRECT($B63&amp;"!"&amp;L$3&amp;"6")</f>
        <v/>
      </c>
      <c r="M63" s="66" t="str">
        <f ca="1">INDIRECT($B63&amp;"!"&amp;M$3&amp;"6")</f>
        <v/>
      </c>
      <c r="N63" s="67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6"/>
    </row>
    <row r="64" spans="2:28" x14ac:dyDescent="0.25">
      <c r="B64" s="86" t="str">
        <f>B63</f>
        <v>LEGO_Bugatti</v>
      </c>
      <c r="C64" s="93" t="s">
        <v>56</v>
      </c>
      <c r="D64" s="217" t="e">
        <f ca="1">0.000001*INDIRECT($B64&amp;"!E7")</f>
        <v>#VALUE!</v>
      </c>
      <c r="E64" s="216"/>
      <c r="F64" s="86" t="str">
        <f>F63</f>
        <v>LEGO_Bugatti</v>
      </c>
      <c r="G64" s="93" t="s">
        <v>56</v>
      </c>
      <c r="H64" s="217" t="e">
        <f ca="1">0.000001*INDIRECT($B64&amp;"!AC7")</f>
        <v>#VALUE!</v>
      </c>
      <c r="I64" s="9"/>
      <c r="J64" s="218" t="e">
        <f ca="1">H64/D64-1</f>
        <v>#VALUE!</v>
      </c>
      <c r="L64" s="65" t="str">
        <f ca="1">INDIRECT($B64&amp;"!"&amp;L$3&amp;"7")</f>
        <v/>
      </c>
      <c r="M64" s="66" t="str">
        <f ca="1">INDIRECT($B64&amp;"!"&amp;M$3&amp;"7")</f>
        <v/>
      </c>
      <c r="N64" s="67" t="e">
        <f ca="1">M64-L64</f>
        <v>#VALUE!</v>
      </c>
      <c r="O64" s="216"/>
      <c r="P64" s="168"/>
      <c r="Q64" s="216"/>
      <c r="R64" s="9"/>
      <c r="S64" s="9"/>
      <c r="T64" s="9"/>
      <c r="U64" s="9"/>
      <c r="V64" s="219"/>
      <c r="X64" s="6"/>
      <c r="Y64" s="6"/>
      <c r="Z64" s="56"/>
    </row>
    <row r="65" spans="2:28" x14ac:dyDescent="0.25">
      <c r="B65" s="86" t="str">
        <f>B64</f>
        <v>LEGO_Bugatti</v>
      </c>
      <c r="C65" s="93" t="s">
        <v>57</v>
      </c>
      <c r="D65" s="217" t="e">
        <f ca="1">0.000001*INDIRECT($B65&amp;"!E8")</f>
        <v>#VALUE!</v>
      </c>
      <c r="E65" s="216"/>
      <c r="F65" s="86" t="str">
        <f>F64</f>
        <v>LEGO_Bugatti</v>
      </c>
      <c r="G65" s="93" t="s">
        <v>57</v>
      </c>
      <c r="H65" s="217" t="e">
        <f ca="1">0.000001*INDIRECT($B65&amp;"!AC8")</f>
        <v>#VALUE!</v>
      </c>
      <c r="I65" s="9"/>
      <c r="J65" s="218" t="e">
        <f ca="1">H65/D65-1</f>
        <v>#VALUE!</v>
      </c>
      <c r="L65" s="65" t="str">
        <f ca="1">INDIRECT($B65&amp;"!"&amp;L$3&amp;"8")</f>
        <v/>
      </c>
      <c r="M65" s="66" t="str">
        <f ca="1">INDIRECT($B65&amp;"!"&amp;M$3&amp;"8")</f>
        <v/>
      </c>
      <c r="N65" s="67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6"/>
    </row>
    <row r="66" spans="2:28" ht="16.5" customHeight="1" thickBot="1" x14ac:dyDescent="0.3">
      <c r="B66" s="86" t="str">
        <f>B65</f>
        <v>LEGO_Bugatti</v>
      </c>
      <c r="C66" s="93" t="s">
        <v>58</v>
      </c>
      <c r="D66" s="217" t="e">
        <f ca="1">0.000001*INDIRECT($B66&amp;"!E9")</f>
        <v>#VALUE!</v>
      </c>
      <c r="E66" s="216"/>
      <c r="F66" s="86" t="str">
        <f>F65</f>
        <v>LEGO_Bugatti</v>
      </c>
      <c r="G66" s="93" t="s">
        <v>58</v>
      </c>
      <c r="H66" s="217" t="e">
        <f ca="1">0.000001*INDIRECT($B66&amp;"!AC9")</f>
        <v>#VALUE!</v>
      </c>
      <c r="I66" s="9"/>
      <c r="J66" s="218" t="e">
        <f ca="1">H66/D66-1</f>
        <v>#VALUE!</v>
      </c>
      <c r="L66" s="65" t="str">
        <f ca="1">INDIRECT($B66&amp;"!"&amp;L$3&amp;"9")</f>
        <v/>
      </c>
      <c r="M66" s="66" t="str">
        <f ca="1">INDIRECT($B66&amp;"!"&amp;M$3&amp;"9")</f>
        <v/>
      </c>
      <c r="N66" s="67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6"/>
      <c r="AB66" s="220"/>
    </row>
    <row r="67" spans="2:28" ht="16.5" customHeight="1" x14ac:dyDescent="0.25">
      <c r="B67" s="80"/>
      <c r="C67" s="81"/>
      <c r="D67" s="222"/>
      <c r="F67" s="80"/>
      <c r="G67" s="81"/>
      <c r="H67" s="222"/>
      <c r="J67" s="69" t="e">
        <f ca="1">MIN(D62:D66,H62:H66)</f>
        <v>#VALUE!</v>
      </c>
      <c r="L67" s="70"/>
      <c r="M67" s="71"/>
      <c r="N67" s="72"/>
      <c r="O67" s="216"/>
      <c r="P67" s="205"/>
      <c r="Q67" s="216"/>
      <c r="R67" s="9"/>
      <c r="S67" s="9"/>
      <c r="T67" s="9"/>
      <c r="U67" s="9"/>
      <c r="V67" s="57"/>
      <c r="X67" s="6"/>
      <c r="Y67" s="6"/>
      <c r="Z67" s="56"/>
    </row>
    <row r="68" spans="2:28" ht="16.5" customHeight="1" thickBot="1" x14ac:dyDescent="0.3">
      <c r="B68" s="62"/>
      <c r="C68" s="63"/>
      <c r="D68" s="223"/>
      <c r="E68" s="216"/>
      <c r="F68" s="62"/>
      <c r="G68" s="63"/>
      <c r="H68" s="223"/>
      <c r="I68" s="9"/>
      <c r="J68" s="73" t="e">
        <f ca="1">MAX(D62:D66,H62:H66)</f>
        <v>#VALUE!</v>
      </c>
      <c r="L68" s="74">
        <f>L67</f>
        <v>0</v>
      </c>
      <c r="M68" s="75">
        <f>M67</f>
        <v>0</v>
      </c>
      <c r="N68" s="68"/>
      <c r="O68" s="216"/>
      <c r="P68" s="5"/>
      <c r="Q68" s="216"/>
      <c r="R68" s="9"/>
      <c r="S68" s="9"/>
      <c r="T68" s="9"/>
      <c r="U68" s="9"/>
      <c r="V68" s="57"/>
      <c r="X68" s="58"/>
      <c r="Y68" s="58"/>
      <c r="Z68" s="56"/>
    </row>
    <row r="69" spans="2:28" ht="16.5" customHeight="1" thickBot="1" x14ac:dyDescent="0.3"/>
    <row r="70" spans="2:28" x14ac:dyDescent="0.25">
      <c r="B70" s="265" t="s">
        <v>27</v>
      </c>
      <c r="C70" s="260"/>
      <c r="D70" s="261"/>
      <c r="E70" s="2"/>
      <c r="F70" s="265" t="str">
        <f>B70</f>
        <v>Plant</v>
      </c>
      <c r="G70" s="260"/>
      <c r="H70" s="261"/>
      <c r="I70" s="2"/>
      <c r="J70" s="205"/>
      <c r="L70" s="259" t="str">
        <f>F70</f>
        <v>Plant</v>
      </c>
      <c r="M70" s="260"/>
      <c r="N70" s="261"/>
      <c r="O70" s="149"/>
      <c r="P70" s="205"/>
      <c r="U70" s="206"/>
      <c r="V70" s="206"/>
      <c r="X70" s="266"/>
      <c r="Y70" s="257"/>
      <c r="Z70" s="257"/>
    </row>
    <row r="71" spans="2:28" x14ac:dyDescent="0.25">
      <c r="B71" s="262" t="s">
        <v>47</v>
      </c>
      <c r="C71" s="257"/>
      <c r="D71" s="61" t="s">
        <v>48</v>
      </c>
      <c r="E71" s="216"/>
      <c r="F71" s="262" t="s">
        <v>47</v>
      </c>
      <c r="G71" s="257"/>
      <c r="H71" s="61" t="s">
        <v>48</v>
      </c>
      <c r="I71" s="9"/>
      <c r="J71" s="203" t="s">
        <v>49</v>
      </c>
      <c r="L71" s="256" t="s">
        <v>64</v>
      </c>
      <c r="M71" s="257"/>
      <c r="N71" s="258"/>
      <c r="O71" s="59"/>
      <c r="P71" s="3"/>
      <c r="R71" s="263"/>
      <c r="S71" s="257"/>
      <c r="T71" s="257"/>
      <c r="U71" s="201"/>
      <c r="V71" s="201"/>
      <c r="X71" s="263"/>
      <c r="Y71" s="257"/>
      <c r="Z71" s="257"/>
    </row>
    <row r="72" spans="2:28" x14ac:dyDescent="0.25">
      <c r="B72" s="145" t="s">
        <v>0</v>
      </c>
      <c r="C72" s="93" t="s">
        <v>51</v>
      </c>
      <c r="D72" s="60" t="s">
        <v>52</v>
      </c>
      <c r="E72" s="216"/>
      <c r="F72" s="145" t="s">
        <v>0</v>
      </c>
      <c r="G72" s="93" t="s">
        <v>51</v>
      </c>
      <c r="H72" s="60" t="s">
        <v>52</v>
      </c>
      <c r="I72" s="9"/>
      <c r="J72" s="64"/>
      <c r="L72" s="146" t="str">
        <f>CONCATENATE(B$2," ",L70)</f>
        <v>MPEG151-octree Plant</v>
      </c>
      <c r="M72" s="147" t="str">
        <f>CONCATENATE(F$2," ",L70)</f>
        <v>MPEG151-修改上下文 Plant</v>
      </c>
      <c r="N72" s="148" t="s">
        <v>53</v>
      </c>
      <c r="O72" s="2"/>
      <c r="P72" s="3" t="s">
        <v>44</v>
      </c>
      <c r="Q72" s="2"/>
      <c r="R72" s="2"/>
      <c r="S72" s="2"/>
      <c r="T72" s="2"/>
      <c r="U72" s="2"/>
      <c r="V72" s="2"/>
      <c r="X72" s="149"/>
      <c r="Y72" s="149"/>
      <c r="Z72" s="149"/>
    </row>
    <row r="73" spans="2:28" x14ac:dyDescent="0.25">
      <c r="B73" s="86" t="str">
        <f>B70</f>
        <v>Plant</v>
      </c>
      <c r="C73" s="93" t="s">
        <v>54</v>
      </c>
      <c r="D73" s="217" t="e">
        <f ca="1">0.000001*INDIRECT($B73&amp;"!E5")</f>
        <v>#VALUE!</v>
      </c>
      <c r="E73" s="216"/>
      <c r="F73" s="86" t="str">
        <f>F70</f>
        <v>Plant</v>
      </c>
      <c r="G73" s="93" t="s">
        <v>54</v>
      </c>
      <c r="H73" s="217" t="e">
        <f ca="1">0.000001*INDIRECT($B73&amp;"!AC5")</f>
        <v>#VALUE!</v>
      </c>
      <c r="I73" s="9"/>
      <c r="J73" s="218" t="e">
        <f ca="1">H73/D73-1</f>
        <v>#VALUE!</v>
      </c>
      <c r="L73" s="65" t="str">
        <f ca="1">INDIRECT($B73&amp;"!"&amp;L$3&amp;"5")</f>
        <v/>
      </c>
      <c r="M73" s="66" t="str">
        <f ca="1">INDIRECT($B73&amp;"!"&amp;M$3&amp;"5")</f>
        <v/>
      </c>
      <c r="N73" s="67" t="e">
        <f ca="1">M73-L73</f>
        <v>#VALUE!</v>
      </c>
      <c r="O73" s="216"/>
      <c r="P73" s="218" t="e">
        <f ca="1">bdRateExtend(D73:D77,L73:L77,H73:H77,M73:M77)</f>
        <v>#VALUE!</v>
      </c>
      <c r="Q73" s="216"/>
      <c r="R73" s="9"/>
      <c r="S73" s="9"/>
      <c r="T73" s="9"/>
      <c r="U73" s="9"/>
      <c r="V73" s="219"/>
      <c r="X73" s="6"/>
      <c r="Y73" s="6"/>
      <c r="Z73" s="56"/>
      <c r="AB73" s="220"/>
    </row>
    <row r="74" spans="2:28" x14ac:dyDescent="0.25">
      <c r="B74" s="86" t="str">
        <f>B73</f>
        <v>Plant</v>
      </c>
      <c r="C74" s="93" t="s">
        <v>55</v>
      </c>
      <c r="D74" s="217" t="e">
        <f ca="1">0.000001*INDIRECT($B74&amp;"!E6")</f>
        <v>#VALUE!</v>
      </c>
      <c r="E74" s="216"/>
      <c r="F74" s="86" t="str">
        <f>F73</f>
        <v>Plant</v>
      </c>
      <c r="G74" s="93" t="s">
        <v>55</v>
      </c>
      <c r="H74" s="217" t="e">
        <f ca="1">0.000001*INDIRECT($B74&amp;"!AC6")</f>
        <v>#VALUE!</v>
      </c>
      <c r="I74" s="9"/>
      <c r="J74" s="218" t="e">
        <f ca="1">H74/D74-1</f>
        <v>#VALUE!</v>
      </c>
      <c r="L74" s="65" t="str">
        <f ca="1">INDIRECT($B74&amp;"!"&amp;L$3&amp;"6")</f>
        <v/>
      </c>
      <c r="M74" s="66" t="str">
        <f ca="1">INDIRECT($B74&amp;"!"&amp;M$3&amp;"6")</f>
        <v/>
      </c>
      <c r="N74" s="67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6"/>
    </row>
    <row r="75" spans="2:28" x14ac:dyDescent="0.25">
      <c r="B75" s="86" t="str">
        <f>B74</f>
        <v>Plant</v>
      </c>
      <c r="C75" s="93" t="s">
        <v>56</v>
      </c>
      <c r="D75" s="217" t="e">
        <f ca="1">0.000001*INDIRECT($B75&amp;"!E7")</f>
        <v>#VALUE!</v>
      </c>
      <c r="E75" s="216"/>
      <c r="F75" s="86" t="str">
        <f>F74</f>
        <v>Plant</v>
      </c>
      <c r="G75" s="93" t="s">
        <v>56</v>
      </c>
      <c r="H75" s="217" t="e">
        <f ca="1">0.000001*INDIRECT($B75&amp;"!AC7")</f>
        <v>#VALUE!</v>
      </c>
      <c r="I75" s="9"/>
      <c r="J75" s="218" t="e">
        <f ca="1">H75/D75-1</f>
        <v>#VALUE!</v>
      </c>
      <c r="L75" s="65" t="str">
        <f ca="1">INDIRECT($B75&amp;"!"&amp;L$3&amp;"7")</f>
        <v/>
      </c>
      <c r="M75" s="66" t="str">
        <f ca="1">INDIRECT($B75&amp;"!"&amp;M$3&amp;"7")</f>
        <v/>
      </c>
      <c r="N75" s="67" t="e">
        <f ca="1">M75-L75</f>
        <v>#VALUE!</v>
      </c>
      <c r="O75" s="216"/>
      <c r="P75" s="168"/>
      <c r="Q75" s="216"/>
      <c r="R75" s="9"/>
      <c r="S75" s="9"/>
      <c r="T75" s="9"/>
      <c r="U75" s="9"/>
      <c r="V75" s="219"/>
      <c r="X75" s="6"/>
      <c r="Y75" s="6"/>
      <c r="Z75" s="56"/>
    </row>
    <row r="76" spans="2:28" x14ac:dyDescent="0.25">
      <c r="B76" s="86" t="str">
        <f>B75</f>
        <v>Plant</v>
      </c>
      <c r="C76" s="93" t="s">
        <v>57</v>
      </c>
      <c r="D76" s="217" t="e">
        <f ca="1">0.000001*INDIRECT($B76&amp;"!E8")</f>
        <v>#VALUE!</v>
      </c>
      <c r="E76" s="216"/>
      <c r="F76" s="86" t="str">
        <f>F75</f>
        <v>Plant</v>
      </c>
      <c r="G76" s="93" t="s">
        <v>57</v>
      </c>
      <c r="H76" s="217" t="e">
        <f ca="1">0.000001*INDIRECT($B76&amp;"!AC8")</f>
        <v>#VALUE!</v>
      </c>
      <c r="I76" s="9"/>
      <c r="J76" s="218" t="e">
        <f ca="1">H76/D76-1</f>
        <v>#VALUE!</v>
      </c>
      <c r="L76" s="65" t="str">
        <f ca="1">INDIRECT($B76&amp;"!"&amp;L$3&amp;"8")</f>
        <v/>
      </c>
      <c r="M76" s="66" t="str">
        <f ca="1">INDIRECT($B76&amp;"!"&amp;M$3&amp;"8")</f>
        <v/>
      </c>
      <c r="N76" s="67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6"/>
    </row>
    <row r="77" spans="2:28" ht="16.5" customHeight="1" thickBot="1" x14ac:dyDescent="0.3">
      <c r="B77" s="86" t="str">
        <f>B76</f>
        <v>Plant</v>
      </c>
      <c r="C77" s="93" t="s">
        <v>58</v>
      </c>
      <c r="D77" s="217" t="e">
        <f ca="1">0.000001*INDIRECT($B77&amp;"!E9")</f>
        <v>#VALUE!</v>
      </c>
      <c r="E77" s="216"/>
      <c r="F77" s="86" t="str">
        <f>F76</f>
        <v>Plant</v>
      </c>
      <c r="G77" s="93" t="s">
        <v>58</v>
      </c>
      <c r="H77" s="217" t="e">
        <f ca="1">0.000001*INDIRECT($B77&amp;"!AC9")</f>
        <v>#VALUE!</v>
      </c>
      <c r="I77" s="9"/>
      <c r="J77" s="218" t="e">
        <f ca="1">H77/D77-1</f>
        <v>#VALUE!</v>
      </c>
      <c r="L77" s="65" t="str">
        <f ca="1">INDIRECT($B77&amp;"!"&amp;L$3&amp;"9")</f>
        <v/>
      </c>
      <c r="M77" s="66" t="str">
        <f ca="1">INDIRECT($B77&amp;"!"&amp;M$3&amp;"9")</f>
        <v/>
      </c>
      <c r="N77" s="67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6"/>
      <c r="AB77" s="220"/>
    </row>
    <row r="78" spans="2:28" ht="16.5" customHeight="1" x14ac:dyDescent="0.25">
      <c r="B78" s="80"/>
      <c r="C78" s="81"/>
      <c r="D78" s="222"/>
      <c r="F78" s="80"/>
      <c r="G78" s="81"/>
      <c r="H78" s="222"/>
      <c r="J78" s="69" t="e">
        <f ca="1">MIN(D73:D77,H73:H77)</f>
        <v>#VALUE!</v>
      </c>
      <c r="L78" s="70"/>
      <c r="M78" s="71"/>
      <c r="N78" s="72"/>
      <c r="O78" s="216"/>
      <c r="P78" s="205"/>
      <c r="Q78" s="216"/>
      <c r="R78" s="9"/>
      <c r="S78" s="9"/>
      <c r="T78" s="9"/>
      <c r="U78" s="9"/>
      <c r="V78" s="57"/>
      <c r="X78" s="6"/>
      <c r="Y78" s="6"/>
      <c r="Z78" s="56"/>
    </row>
    <row r="79" spans="2:28" ht="16.5" customHeight="1" thickBot="1" x14ac:dyDescent="0.3">
      <c r="B79" s="62"/>
      <c r="C79" s="63"/>
      <c r="D79" s="223"/>
      <c r="E79" s="216"/>
      <c r="F79" s="62"/>
      <c r="G79" s="63"/>
      <c r="H79" s="223"/>
      <c r="I79" s="9"/>
      <c r="J79" s="73" t="e">
        <f ca="1">MAX(D73:D77,H73:H77)</f>
        <v>#VALUE!</v>
      </c>
      <c r="L79" s="74">
        <f>L78</f>
        <v>0</v>
      </c>
      <c r="M79" s="75">
        <f>M78</f>
        <v>0</v>
      </c>
      <c r="N79" s="68"/>
      <c r="O79" s="216"/>
      <c r="P79" s="5"/>
      <c r="Q79" s="216"/>
      <c r="R79" s="9"/>
      <c r="S79" s="9"/>
      <c r="T79" s="9"/>
      <c r="U79" s="9"/>
      <c r="V79" s="57"/>
      <c r="X79" s="58"/>
      <c r="Y79" s="58"/>
      <c r="Z79" s="56"/>
    </row>
    <row r="80" spans="2:28" ht="16.5" customHeight="1" thickBot="1" x14ac:dyDescent="0.3"/>
    <row r="81" spans="2:28" x14ac:dyDescent="0.25">
      <c r="B81" s="265" t="s">
        <v>28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205"/>
      <c r="L81" s="259" t="str">
        <f>F81</f>
        <v>Tennis_Player</v>
      </c>
      <c r="M81" s="260"/>
      <c r="N81" s="261"/>
      <c r="O81" s="149"/>
      <c r="P81" s="205"/>
      <c r="U81" s="206"/>
      <c r="V81" s="206"/>
      <c r="X81" s="266"/>
      <c r="Y81" s="257"/>
      <c r="Z81" s="257"/>
    </row>
    <row r="82" spans="2:28" x14ac:dyDescent="0.25">
      <c r="B82" s="262" t="s">
        <v>47</v>
      </c>
      <c r="C82" s="257"/>
      <c r="D82" s="61" t="s">
        <v>48</v>
      </c>
      <c r="E82" s="216"/>
      <c r="F82" s="262" t="s">
        <v>47</v>
      </c>
      <c r="G82" s="257"/>
      <c r="H82" s="61" t="s">
        <v>48</v>
      </c>
      <c r="I82" s="9"/>
      <c r="J82" s="203" t="s">
        <v>49</v>
      </c>
      <c r="L82" s="256" t="s">
        <v>64</v>
      </c>
      <c r="M82" s="257"/>
      <c r="N82" s="258"/>
      <c r="O82" s="59"/>
      <c r="P82" s="3"/>
      <c r="R82" s="263"/>
      <c r="S82" s="257"/>
      <c r="T82" s="257"/>
      <c r="U82" s="201"/>
      <c r="V82" s="201"/>
      <c r="X82" s="263"/>
      <c r="Y82" s="257"/>
      <c r="Z82" s="257"/>
    </row>
    <row r="83" spans="2:28" x14ac:dyDescent="0.25">
      <c r="B83" s="145" t="s">
        <v>0</v>
      </c>
      <c r="C83" s="93" t="s">
        <v>51</v>
      </c>
      <c r="D83" s="60" t="s">
        <v>52</v>
      </c>
      <c r="E83" s="216"/>
      <c r="F83" s="145" t="s">
        <v>0</v>
      </c>
      <c r="G83" s="93" t="s">
        <v>51</v>
      </c>
      <c r="H83" s="60" t="s">
        <v>52</v>
      </c>
      <c r="I83" s="9"/>
      <c r="J83" s="64"/>
      <c r="L83" s="146" t="str">
        <f>CONCATENATE(B$2," ",L81)</f>
        <v>MPEG151-octree Tennis_Player</v>
      </c>
      <c r="M83" s="147" t="str">
        <f>CONCATENATE(F$2," ",L81)</f>
        <v>MPEG151-修改上下文 Tennis_Player</v>
      </c>
      <c r="N83" s="148" t="s">
        <v>53</v>
      </c>
      <c r="O83" s="2"/>
      <c r="P83" s="3" t="s">
        <v>44</v>
      </c>
      <c r="Q83" s="2"/>
      <c r="R83" s="2"/>
      <c r="S83" s="2"/>
      <c r="T83" s="2"/>
      <c r="U83" s="2"/>
      <c r="V83" s="2"/>
      <c r="X83" s="149"/>
      <c r="Y83" s="149"/>
      <c r="Z83" s="149"/>
    </row>
    <row r="84" spans="2:28" x14ac:dyDescent="0.25">
      <c r="B84" s="86" t="str">
        <f>B81</f>
        <v>Tennis_Player</v>
      </c>
      <c r="C84" s="93" t="s">
        <v>54</v>
      </c>
      <c r="D84" s="217" t="e">
        <f ca="1">0.000001*INDIRECT($B84&amp;"!E5")</f>
        <v>#VALUE!</v>
      </c>
      <c r="E84" s="216"/>
      <c r="F84" s="86" t="str">
        <f>F81</f>
        <v>Tennis_Player</v>
      </c>
      <c r="G84" s="93" t="s">
        <v>54</v>
      </c>
      <c r="H84" s="217" t="e">
        <f ca="1">0.000001*INDIRECT($B84&amp;"!AC5")</f>
        <v>#VALUE!</v>
      </c>
      <c r="I84" s="9"/>
      <c r="J84" s="218" t="e">
        <f ca="1">H84/D84-1</f>
        <v>#VALUE!</v>
      </c>
      <c r="L84" s="65" t="str">
        <f ca="1">INDIRECT($B84&amp;"!"&amp;L$3&amp;"5")</f>
        <v/>
      </c>
      <c r="M84" s="66" t="str">
        <f ca="1">INDIRECT($B84&amp;"!"&amp;M$3&amp;"5")</f>
        <v/>
      </c>
      <c r="N84" s="67" t="e">
        <f ca="1">M84-L84</f>
        <v>#VALUE!</v>
      </c>
      <c r="O84" s="216"/>
      <c r="P84" s="218" t="e">
        <f ca="1">bdRateExtend(D84:D88,L84:L88,H84:H88,M84:M88)</f>
        <v>#VALUE!</v>
      </c>
      <c r="Q84" s="216"/>
      <c r="R84" s="9"/>
      <c r="S84" s="9"/>
      <c r="T84" s="9"/>
      <c r="U84" s="9"/>
      <c r="V84" s="219"/>
      <c r="X84" s="6"/>
      <c r="Y84" s="6"/>
      <c r="Z84" s="56"/>
      <c r="AB84" s="220"/>
    </row>
    <row r="85" spans="2:28" x14ac:dyDescent="0.25">
      <c r="B85" s="86" t="str">
        <f>B84</f>
        <v>Tennis_Player</v>
      </c>
      <c r="C85" s="93" t="s">
        <v>55</v>
      </c>
      <c r="D85" s="217" t="e">
        <f ca="1">0.000001*INDIRECT($B85&amp;"!E6")</f>
        <v>#VALUE!</v>
      </c>
      <c r="E85" s="216"/>
      <c r="F85" s="86" t="str">
        <f>F84</f>
        <v>Tennis_Player</v>
      </c>
      <c r="G85" s="93" t="s">
        <v>55</v>
      </c>
      <c r="H85" s="217" t="e">
        <f ca="1">0.000001*INDIRECT($B85&amp;"!AC6")</f>
        <v>#VALUE!</v>
      </c>
      <c r="I85" s="9"/>
      <c r="J85" s="218" t="e">
        <f ca="1">H85/D85-1</f>
        <v>#VALUE!</v>
      </c>
      <c r="L85" s="65" t="str">
        <f ca="1">INDIRECT($B85&amp;"!"&amp;L$3&amp;"6")</f>
        <v/>
      </c>
      <c r="M85" s="66" t="str">
        <f ca="1">INDIRECT($B85&amp;"!"&amp;M$3&amp;"6")</f>
        <v/>
      </c>
      <c r="N85" s="67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6"/>
    </row>
    <row r="86" spans="2:28" x14ac:dyDescent="0.25">
      <c r="B86" s="86" t="str">
        <f>B85</f>
        <v>Tennis_Player</v>
      </c>
      <c r="C86" s="93" t="s">
        <v>56</v>
      </c>
      <c r="D86" s="217" t="e">
        <f ca="1">0.000001*INDIRECT($B86&amp;"!E7")</f>
        <v>#VALUE!</v>
      </c>
      <c r="E86" s="216"/>
      <c r="F86" s="86" t="str">
        <f>F85</f>
        <v>Tennis_Player</v>
      </c>
      <c r="G86" s="93" t="s">
        <v>56</v>
      </c>
      <c r="H86" s="217" t="e">
        <f ca="1">0.000001*INDIRECT($B86&amp;"!AC7")</f>
        <v>#VALUE!</v>
      </c>
      <c r="I86" s="9"/>
      <c r="J86" s="218" t="e">
        <f ca="1">H86/D86-1</f>
        <v>#VALUE!</v>
      </c>
      <c r="L86" s="65" t="str">
        <f ca="1">INDIRECT($B86&amp;"!"&amp;L$3&amp;"7")</f>
        <v/>
      </c>
      <c r="M86" s="66" t="str">
        <f ca="1">INDIRECT($B86&amp;"!"&amp;M$3&amp;"7")</f>
        <v/>
      </c>
      <c r="N86" s="67" t="e">
        <f ca="1">M86-L86</f>
        <v>#VALUE!</v>
      </c>
      <c r="O86" s="216"/>
      <c r="P86" s="168"/>
      <c r="Q86" s="216"/>
      <c r="R86" s="9"/>
      <c r="S86" s="9"/>
      <c r="T86" s="9"/>
      <c r="U86" s="9"/>
      <c r="V86" s="219"/>
      <c r="X86" s="6"/>
      <c r="Y86" s="6"/>
      <c r="Z86" s="56"/>
    </row>
    <row r="87" spans="2:28" x14ac:dyDescent="0.25">
      <c r="B87" s="86" t="str">
        <f>B86</f>
        <v>Tennis_Player</v>
      </c>
      <c r="C87" s="93" t="s">
        <v>57</v>
      </c>
      <c r="D87" s="217" t="e">
        <f ca="1">0.000001*INDIRECT($B87&amp;"!E8")</f>
        <v>#VALUE!</v>
      </c>
      <c r="E87" s="216"/>
      <c r="F87" s="86" t="str">
        <f>F86</f>
        <v>Tennis_Player</v>
      </c>
      <c r="G87" s="93" t="s">
        <v>57</v>
      </c>
      <c r="H87" s="217" t="e">
        <f ca="1">0.000001*INDIRECT($B87&amp;"!AC8")</f>
        <v>#VALUE!</v>
      </c>
      <c r="I87" s="9"/>
      <c r="J87" s="218" t="e">
        <f ca="1">H87/D87-1</f>
        <v>#VALUE!</v>
      </c>
      <c r="L87" s="65" t="str">
        <f ca="1">INDIRECT($B87&amp;"!"&amp;L$3&amp;"8")</f>
        <v/>
      </c>
      <c r="M87" s="66" t="str">
        <f ca="1">INDIRECT($B87&amp;"!"&amp;M$3&amp;"8")</f>
        <v/>
      </c>
      <c r="N87" s="67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6"/>
    </row>
    <row r="88" spans="2:28" ht="16.5" customHeight="1" thickBot="1" x14ac:dyDescent="0.3">
      <c r="B88" s="86" t="str">
        <f>B87</f>
        <v>Tennis_Player</v>
      </c>
      <c r="C88" s="93" t="s">
        <v>58</v>
      </c>
      <c r="D88" s="217" t="e">
        <f ca="1">0.000001*INDIRECT($B88&amp;"!E9")</f>
        <v>#VALUE!</v>
      </c>
      <c r="E88" s="216"/>
      <c r="F88" s="86" t="str">
        <f>F87</f>
        <v>Tennis_Player</v>
      </c>
      <c r="G88" s="93" t="s">
        <v>58</v>
      </c>
      <c r="H88" s="217" t="e">
        <f ca="1">0.000001*INDIRECT($B88&amp;"!AC9")</f>
        <v>#VALUE!</v>
      </c>
      <c r="I88" s="9"/>
      <c r="J88" s="218" t="e">
        <f ca="1">H88/D88-1</f>
        <v>#VALUE!</v>
      </c>
      <c r="L88" s="65" t="str">
        <f ca="1">INDIRECT($B88&amp;"!"&amp;L$3&amp;"9")</f>
        <v/>
      </c>
      <c r="M88" s="66" t="str">
        <f ca="1">INDIRECT($B88&amp;"!"&amp;M$3&amp;"9")</f>
        <v/>
      </c>
      <c r="N88" s="67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6"/>
      <c r="AB88" s="220"/>
    </row>
    <row r="89" spans="2:28" ht="16.5" customHeight="1" x14ac:dyDescent="0.25">
      <c r="B89" s="80"/>
      <c r="C89" s="81"/>
      <c r="D89" s="222"/>
      <c r="F89" s="80"/>
      <c r="G89" s="81"/>
      <c r="H89" s="222"/>
      <c r="J89" s="69" t="e">
        <f ca="1">MIN(D84:D88,H84:H88)</f>
        <v>#VALUE!</v>
      </c>
      <c r="L89" s="70"/>
      <c r="M89" s="71"/>
      <c r="N89" s="72"/>
      <c r="O89" s="216"/>
      <c r="P89" s="205"/>
      <c r="Q89" s="216"/>
      <c r="R89" s="9"/>
      <c r="S89" s="9"/>
      <c r="T89" s="9"/>
      <c r="U89" s="9"/>
      <c r="V89" s="57"/>
      <c r="X89" s="6"/>
      <c r="Y89" s="6"/>
      <c r="Z89" s="56"/>
    </row>
    <row r="90" spans="2:28" ht="16.5" customHeight="1" thickBot="1" x14ac:dyDescent="0.3">
      <c r="B90" s="62"/>
      <c r="C90" s="63"/>
      <c r="D90" s="223"/>
      <c r="E90" s="216"/>
      <c r="F90" s="62"/>
      <c r="G90" s="63"/>
      <c r="H90" s="223"/>
      <c r="I90" s="9"/>
      <c r="J90" s="73" t="e">
        <f ca="1">MAX(D84:D88,H84:H88)</f>
        <v>#VALUE!</v>
      </c>
      <c r="L90" s="74">
        <f>L89</f>
        <v>0</v>
      </c>
      <c r="M90" s="75">
        <f>M89</f>
        <v>0</v>
      </c>
      <c r="N90" s="68"/>
      <c r="O90" s="216"/>
      <c r="P90" s="5"/>
      <c r="Q90" s="216"/>
      <c r="R90" s="9"/>
      <c r="S90" s="9"/>
      <c r="T90" s="9"/>
      <c r="U90" s="9"/>
      <c r="V90" s="57"/>
      <c r="X90" s="58"/>
      <c r="Y90" s="58"/>
      <c r="Z90" s="56"/>
    </row>
    <row r="91" spans="2:28" ht="18" customHeight="1" thickBot="1" x14ac:dyDescent="0.3"/>
    <row r="92" spans="2:28" x14ac:dyDescent="0.25">
      <c r="B92" s="265" t="s">
        <v>29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205"/>
      <c r="L92" s="259" t="str">
        <f>F92</f>
        <v>Cricket_Player</v>
      </c>
      <c r="M92" s="260"/>
      <c r="N92" s="261"/>
      <c r="O92" s="149"/>
      <c r="P92" s="205"/>
      <c r="U92" s="206"/>
      <c r="V92" s="206"/>
      <c r="X92" s="266"/>
      <c r="Y92" s="257"/>
      <c r="Z92" s="257"/>
    </row>
    <row r="93" spans="2:28" x14ac:dyDescent="0.25">
      <c r="B93" s="262" t="s">
        <v>47</v>
      </c>
      <c r="C93" s="257"/>
      <c r="D93" s="61" t="s">
        <v>48</v>
      </c>
      <c r="E93" s="216"/>
      <c r="F93" s="262" t="s">
        <v>47</v>
      </c>
      <c r="G93" s="257"/>
      <c r="H93" s="61" t="s">
        <v>48</v>
      </c>
      <c r="I93" s="9"/>
      <c r="J93" s="203" t="s">
        <v>49</v>
      </c>
      <c r="L93" s="256" t="s">
        <v>64</v>
      </c>
      <c r="M93" s="257"/>
      <c r="N93" s="258"/>
      <c r="O93" s="59"/>
      <c r="P93" s="3"/>
      <c r="R93" s="263"/>
      <c r="S93" s="257"/>
      <c r="T93" s="257"/>
      <c r="U93" s="201"/>
      <c r="V93" s="201"/>
      <c r="X93" s="263"/>
      <c r="Y93" s="257"/>
      <c r="Z93" s="257"/>
    </row>
    <row r="94" spans="2:28" x14ac:dyDescent="0.25">
      <c r="B94" s="145" t="s">
        <v>0</v>
      </c>
      <c r="C94" s="93" t="s">
        <v>51</v>
      </c>
      <c r="D94" s="60" t="s">
        <v>52</v>
      </c>
      <c r="E94" s="216"/>
      <c r="F94" s="145" t="s">
        <v>0</v>
      </c>
      <c r="G94" s="93" t="s">
        <v>51</v>
      </c>
      <c r="H94" s="60" t="s">
        <v>52</v>
      </c>
      <c r="I94" s="9"/>
      <c r="J94" s="64"/>
      <c r="L94" s="146" t="str">
        <f>CONCATENATE(B$2," ",L92)</f>
        <v>MPEG151-octree Cricket_Player</v>
      </c>
      <c r="M94" s="147" t="str">
        <f>CONCATENATE(F$2," ",L92)</f>
        <v>MPEG151-修改上下文 Cricket_Player</v>
      </c>
      <c r="N94" s="148" t="s">
        <v>53</v>
      </c>
      <c r="O94" s="2"/>
      <c r="P94" s="3" t="s">
        <v>44</v>
      </c>
      <c r="Q94" s="2"/>
      <c r="R94" s="2"/>
      <c r="S94" s="2"/>
      <c r="T94" s="2"/>
      <c r="U94" s="2"/>
      <c r="V94" s="2"/>
      <c r="X94" s="149"/>
      <c r="Y94" s="149"/>
      <c r="Z94" s="149"/>
    </row>
    <row r="95" spans="2:28" x14ac:dyDescent="0.25">
      <c r="B95" s="86" t="str">
        <f>B92</f>
        <v>Cricket_Player</v>
      </c>
      <c r="C95" s="93" t="s">
        <v>54</v>
      </c>
      <c r="D95" s="217" t="e">
        <f ca="1">0.000001*INDIRECT($B95&amp;"!E5")</f>
        <v>#VALUE!</v>
      </c>
      <c r="E95" s="216"/>
      <c r="F95" s="86" t="str">
        <f>F92</f>
        <v>Cricket_Player</v>
      </c>
      <c r="G95" s="93" t="s">
        <v>54</v>
      </c>
      <c r="H95" s="217" t="e">
        <f ca="1">0.000001*INDIRECT($B95&amp;"!AC5")</f>
        <v>#VALUE!</v>
      </c>
      <c r="I95" s="9"/>
      <c r="J95" s="218" t="e">
        <f ca="1">H95/D95-1</f>
        <v>#VALUE!</v>
      </c>
      <c r="L95" s="65" t="str">
        <f ca="1">INDIRECT($B95&amp;"!"&amp;L$3&amp;"5")</f>
        <v/>
      </c>
      <c r="M95" s="66" t="str">
        <f ca="1">INDIRECT($B95&amp;"!"&amp;M$3&amp;"5")</f>
        <v/>
      </c>
      <c r="N95" s="67" t="e">
        <f ca="1">M95-L95</f>
        <v>#VALUE!</v>
      </c>
      <c r="O95" s="216"/>
      <c r="P95" s="218" t="e">
        <f ca="1">bdRateExtend(D95:D99,L95:L99,H95:H99,M95:M99)</f>
        <v>#VALUE!</v>
      </c>
      <c r="Q95" s="216"/>
      <c r="R95" s="9"/>
      <c r="S95" s="9"/>
      <c r="T95" s="9"/>
      <c r="U95" s="9"/>
      <c r="V95" s="219"/>
      <c r="X95" s="6"/>
      <c r="Y95" s="6"/>
      <c r="Z95" s="56"/>
      <c r="AB95" s="220"/>
    </row>
    <row r="96" spans="2:28" x14ac:dyDescent="0.25">
      <c r="B96" s="86" t="str">
        <f>B95</f>
        <v>Cricket_Player</v>
      </c>
      <c r="C96" s="93" t="s">
        <v>55</v>
      </c>
      <c r="D96" s="217" t="e">
        <f ca="1">0.000001*INDIRECT($B96&amp;"!E6")</f>
        <v>#VALUE!</v>
      </c>
      <c r="E96" s="216"/>
      <c r="F96" s="86" t="str">
        <f>F95</f>
        <v>Cricket_Player</v>
      </c>
      <c r="G96" s="93" t="s">
        <v>55</v>
      </c>
      <c r="H96" s="217" t="e">
        <f ca="1">0.000001*INDIRECT($B96&amp;"!AC6")</f>
        <v>#VALUE!</v>
      </c>
      <c r="I96" s="9"/>
      <c r="J96" s="218" t="e">
        <f ca="1">H96/D96-1</f>
        <v>#VALUE!</v>
      </c>
      <c r="L96" s="65" t="str">
        <f ca="1">INDIRECT($B96&amp;"!"&amp;L$3&amp;"6")</f>
        <v/>
      </c>
      <c r="M96" s="66" t="str">
        <f ca="1">INDIRECT($B96&amp;"!"&amp;M$3&amp;"6")</f>
        <v/>
      </c>
      <c r="N96" s="67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6"/>
    </row>
    <row r="97" spans="2:28" x14ac:dyDescent="0.25">
      <c r="B97" s="86" t="str">
        <f>B96</f>
        <v>Cricket_Player</v>
      </c>
      <c r="C97" s="93" t="s">
        <v>56</v>
      </c>
      <c r="D97" s="217" t="e">
        <f ca="1">0.000001*INDIRECT($B97&amp;"!E7")</f>
        <v>#VALUE!</v>
      </c>
      <c r="E97" s="216"/>
      <c r="F97" s="86" t="str">
        <f>F96</f>
        <v>Cricket_Player</v>
      </c>
      <c r="G97" s="93" t="s">
        <v>56</v>
      </c>
      <c r="H97" s="217" t="e">
        <f ca="1">0.000001*INDIRECT($B97&amp;"!AC7")</f>
        <v>#VALUE!</v>
      </c>
      <c r="I97" s="9"/>
      <c r="J97" s="218" t="e">
        <f ca="1">H97/D97-1</f>
        <v>#VALUE!</v>
      </c>
      <c r="L97" s="65" t="str">
        <f ca="1">INDIRECT($B97&amp;"!"&amp;L$3&amp;"7")</f>
        <v/>
      </c>
      <c r="M97" s="66" t="str">
        <f ca="1">INDIRECT($B97&amp;"!"&amp;M$3&amp;"7")</f>
        <v/>
      </c>
      <c r="N97" s="67" t="e">
        <f ca="1">M97-L97</f>
        <v>#VALUE!</v>
      </c>
      <c r="O97" s="216"/>
      <c r="P97" s="168"/>
      <c r="Q97" s="216"/>
      <c r="R97" s="9"/>
      <c r="S97" s="9"/>
      <c r="T97" s="9"/>
      <c r="U97" s="9"/>
      <c r="V97" s="219"/>
      <c r="X97" s="6"/>
      <c r="Y97" s="6"/>
      <c r="Z97" s="56"/>
    </row>
    <row r="98" spans="2:28" x14ac:dyDescent="0.25">
      <c r="B98" s="86" t="str">
        <f>B97</f>
        <v>Cricket_Player</v>
      </c>
      <c r="C98" s="93" t="s">
        <v>57</v>
      </c>
      <c r="D98" s="217" t="e">
        <f ca="1">0.000001*INDIRECT($B98&amp;"!E8")</f>
        <v>#VALUE!</v>
      </c>
      <c r="E98" s="216"/>
      <c r="F98" s="86" t="str">
        <f>F97</f>
        <v>Cricket_Player</v>
      </c>
      <c r="G98" s="93" t="s">
        <v>57</v>
      </c>
      <c r="H98" s="217" t="e">
        <f ca="1">0.000001*INDIRECT($B98&amp;"!AC8")</f>
        <v>#VALUE!</v>
      </c>
      <c r="I98" s="9"/>
      <c r="J98" s="218" t="e">
        <f ca="1">H98/D98-1</f>
        <v>#VALUE!</v>
      </c>
      <c r="L98" s="65" t="str">
        <f ca="1">INDIRECT($B98&amp;"!"&amp;L$3&amp;"8")</f>
        <v/>
      </c>
      <c r="M98" s="66" t="str">
        <f ca="1">INDIRECT($B98&amp;"!"&amp;M$3&amp;"8")</f>
        <v/>
      </c>
      <c r="N98" s="67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6"/>
    </row>
    <row r="99" spans="2:28" ht="16.5" customHeight="1" thickBot="1" x14ac:dyDescent="0.3">
      <c r="B99" s="86" t="str">
        <f>B98</f>
        <v>Cricket_Player</v>
      </c>
      <c r="C99" s="93" t="s">
        <v>58</v>
      </c>
      <c r="D99" s="217" t="e">
        <f ca="1">0.000001*INDIRECT($B99&amp;"!E9")</f>
        <v>#VALUE!</v>
      </c>
      <c r="E99" s="216"/>
      <c r="F99" s="86" t="str">
        <f>F98</f>
        <v>Cricket_Player</v>
      </c>
      <c r="G99" s="93" t="s">
        <v>58</v>
      </c>
      <c r="H99" s="217" t="e">
        <f ca="1">0.000001*INDIRECT($B99&amp;"!AC9")</f>
        <v>#VALUE!</v>
      </c>
      <c r="I99" s="9"/>
      <c r="J99" s="218" t="e">
        <f ca="1">H99/D99-1</f>
        <v>#VALUE!</v>
      </c>
      <c r="L99" s="65" t="str">
        <f ca="1">INDIRECT($B99&amp;"!"&amp;L$3&amp;"9")</f>
        <v/>
      </c>
      <c r="M99" s="66" t="str">
        <f ca="1">INDIRECT($B99&amp;"!"&amp;M$3&amp;"9")</f>
        <v/>
      </c>
      <c r="N99" s="67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6"/>
      <c r="AB99" s="220"/>
    </row>
    <row r="100" spans="2:28" ht="16.5" customHeight="1" x14ac:dyDescent="0.25">
      <c r="B100" s="80"/>
      <c r="C100" s="81"/>
      <c r="D100" s="222"/>
      <c r="F100" s="80"/>
      <c r="G100" s="81"/>
      <c r="H100" s="222"/>
      <c r="J100" s="69" t="e">
        <f ca="1">MIN(D95:D99,H95:H99)</f>
        <v>#VALUE!</v>
      </c>
      <c r="L100" s="70"/>
      <c r="M100" s="71"/>
      <c r="N100" s="72"/>
      <c r="O100" s="216"/>
      <c r="P100" s="205"/>
      <c r="Q100" s="216"/>
      <c r="R100" s="9"/>
      <c r="S100" s="9"/>
      <c r="T100" s="9"/>
      <c r="U100" s="9"/>
      <c r="V100" s="57"/>
      <c r="X100" s="6"/>
      <c r="Y100" s="6"/>
      <c r="Z100" s="56"/>
    </row>
    <row r="101" spans="2:28" ht="16.5" customHeight="1" thickBot="1" x14ac:dyDescent="0.3">
      <c r="B101" s="62"/>
      <c r="C101" s="63"/>
      <c r="D101" s="223"/>
      <c r="E101" s="216"/>
      <c r="F101" s="62"/>
      <c r="G101" s="63"/>
      <c r="H101" s="223"/>
      <c r="I101" s="9"/>
      <c r="J101" s="73" t="e">
        <f ca="1">MAX(D95:D99,H95:H99)</f>
        <v>#VALUE!</v>
      </c>
      <c r="L101" s="74">
        <f>L100</f>
        <v>0</v>
      </c>
      <c r="M101" s="75">
        <f>M100</f>
        <v>0</v>
      </c>
      <c r="N101" s="68"/>
      <c r="O101" s="216"/>
      <c r="P101" s="5"/>
      <c r="Q101" s="216"/>
      <c r="R101" s="9"/>
      <c r="S101" s="9"/>
      <c r="T101" s="9"/>
      <c r="U101" s="9"/>
      <c r="V101" s="57"/>
      <c r="X101" s="58"/>
      <c r="Y101" s="58"/>
      <c r="Z101" s="56"/>
    </row>
    <row r="102" spans="2:28" ht="18" customHeight="1" thickBot="1" x14ac:dyDescent="0.3"/>
    <row r="103" spans="2:28" x14ac:dyDescent="0.25">
      <c r="B103" s="265" t="s">
        <v>30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205"/>
      <c r="L103" s="259" t="str">
        <f>F103</f>
        <v>Tango_Duo</v>
      </c>
      <c r="M103" s="260"/>
      <c r="N103" s="261"/>
      <c r="O103" s="149"/>
      <c r="P103" s="205"/>
      <c r="U103" s="206"/>
      <c r="V103" s="206"/>
      <c r="X103" s="266"/>
      <c r="Y103" s="257"/>
      <c r="Z103" s="257"/>
    </row>
    <row r="104" spans="2:28" x14ac:dyDescent="0.25">
      <c r="B104" s="262" t="s">
        <v>47</v>
      </c>
      <c r="C104" s="257"/>
      <c r="D104" s="61" t="s">
        <v>48</v>
      </c>
      <c r="E104" s="216"/>
      <c r="F104" s="262" t="s">
        <v>47</v>
      </c>
      <c r="G104" s="257"/>
      <c r="H104" s="61" t="s">
        <v>48</v>
      </c>
      <c r="I104" s="9"/>
      <c r="J104" s="203" t="s">
        <v>49</v>
      </c>
      <c r="L104" s="256" t="s">
        <v>64</v>
      </c>
      <c r="M104" s="257"/>
      <c r="N104" s="258"/>
      <c r="O104" s="59"/>
      <c r="P104" s="3"/>
      <c r="R104" s="263"/>
      <c r="S104" s="257"/>
      <c r="T104" s="257"/>
      <c r="U104" s="201"/>
      <c r="V104" s="201"/>
      <c r="X104" s="263"/>
      <c r="Y104" s="257"/>
      <c r="Z104" s="257"/>
    </row>
    <row r="105" spans="2:28" x14ac:dyDescent="0.25">
      <c r="B105" s="145" t="s">
        <v>0</v>
      </c>
      <c r="C105" s="93" t="s">
        <v>51</v>
      </c>
      <c r="D105" s="60" t="s">
        <v>52</v>
      </c>
      <c r="E105" s="216"/>
      <c r="F105" s="145" t="s">
        <v>0</v>
      </c>
      <c r="G105" s="93" t="s">
        <v>51</v>
      </c>
      <c r="H105" s="60" t="s">
        <v>52</v>
      </c>
      <c r="I105" s="9"/>
      <c r="J105" s="64"/>
      <c r="L105" s="146" t="str">
        <f>CONCATENATE(B$2," ",L103)</f>
        <v>MPEG151-octree Tango_Duo</v>
      </c>
      <c r="M105" s="147" t="str">
        <f>CONCATENATE(F$2," ",L103)</f>
        <v>MPEG151-修改上下文 Tango_Duo</v>
      </c>
      <c r="N105" s="148" t="s">
        <v>53</v>
      </c>
      <c r="O105" s="2"/>
      <c r="P105" s="3" t="s">
        <v>44</v>
      </c>
      <c r="Q105" s="2"/>
      <c r="R105" s="2"/>
      <c r="S105" s="2"/>
      <c r="T105" s="2"/>
      <c r="U105" s="2"/>
      <c r="V105" s="2"/>
      <c r="X105" s="149"/>
      <c r="Y105" s="149"/>
      <c r="Z105" s="149"/>
    </row>
    <row r="106" spans="2:28" x14ac:dyDescent="0.25">
      <c r="B106" s="86" t="str">
        <f>B103</f>
        <v>Tango_Duo</v>
      </c>
      <c r="C106" s="93" t="s">
        <v>54</v>
      </c>
      <c r="D106" s="217" t="e">
        <f ca="1">0.000001*INDIRECT($B106&amp;"!E5")</f>
        <v>#VALUE!</v>
      </c>
      <c r="E106" s="216"/>
      <c r="F106" s="86" t="str">
        <f>F103</f>
        <v>Tango_Duo</v>
      </c>
      <c r="G106" s="93" t="s">
        <v>54</v>
      </c>
      <c r="H106" s="217" t="e">
        <f ca="1">0.000001*INDIRECT($B106&amp;"!AC5")</f>
        <v>#VALUE!</v>
      </c>
      <c r="I106" s="9"/>
      <c r="J106" s="218" t="e">
        <f ca="1">H106/D106-1</f>
        <v>#VALUE!</v>
      </c>
      <c r="L106" s="65" t="str">
        <f ca="1">INDIRECT($B106&amp;"!"&amp;L$3&amp;"5")</f>
        <v/>
      </c>
      <c r="M106" s="66" t="str">
        <f ca="1">INDIRECT($B106&amp;"!"&amp;M$3&amp;"5")</f>
        <v/>
      </c>
      <c r="N106" s="67" t="e">
        <f ca="1">M106-L106</f>
        <v>#VALUE!</v>
      </c>
      <c r="O106" s="216"/>
      <c r="P106" s="218" t="e">
        <f ca="1">bdRateExtend(D106:D110,L106:L110,H106:H110,M106:M110)</f>
        <v>#VALUE!</v>
      </c>
      <c r="Q106" s="216"/>
      <c r="R106" s="9"/>
      <c r="S106" s="9"/>
      <c r="T106" s="9"/>
      <c r="U106" s="9"/>
      <c r="V106" s="219"/>
      <c r="X106" s="6"/>
      <c r="Y106" s="6"/>
      <c r="Z106" s="56"/>
      <c r="AB106" s="220"/>
    </row>
    <row r="107" spans="2:28" x14ac:dyDescent="0.25">
      <c r="B107" s="86" t="str">
        <f>B106</f>
        <v>Tango_Duo</v>
      </c>
      <c r="C107" s="93" t="s">
        <v>55</v>
      </c>
      <c r="D107" s="217" t="e">
        <f ca="1">0.000001*INDIRECT($B107&amp;"!E6")</f>
        <v>#VALUE!</v>
      </c>
      <c r="E107" s="216"/>
      <c r="F107" s="86" t="str">
        <f>F106</f>
        <v>Tango_Duo</v>
      </c>
      <c r="G107" s="93" t="s">
        <v>55</v>
      </c>
      <c r="H107" s="217" t="e">
        <f ca="1">0.000001*INDIRECT($B107&amp;"!AC6")</f>
        <v>#VALUE!</v>
      </c>
      <c r="I107" s="9"/>
      <c r="J107" s="218" t="e">
        <f ca="1">H107/D107-1</f>
        <v>#VALUE!</v>
      </c>
      <c r="L107" s="65" t="str">
        <f ca="1">INDIRECT($B107&amp;"!"&amp;L$3&amp;"6")</f>
        <v/>
      </c>
      <c r="M107" s="66" t="str">
        <f ca="1">INDIRECT($B107&amp;"!"&amp;M$3&amp;"6")</f>
        <v/>
      </c>
      <c r="N107" s="67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6"/>
    </row>
    <row r="108" spans="2:28" x14ac:dyDescent="0.25">
      <c r="B108" s="86" t="str">
        <f>B107</f>
        <v>Tango_Duo</v>
      </c>
      <c r="C108" s="93" t="s">
        <v>56</v>
      </c>
      <c r="D108" s="217" t="e">
        <f ca="1">0.000001*INDIRECT($B108&amp;"!E7")</f>
        <v>#VALUE!</v>
      </c>
      <c r="E108" s="216"/>
      <c r="F108" s="86" t="str">
        <f>F107</f>
        <v>Tango_Duo</v>
      </c>
      <c r="G108" s="93" t="s">
        <v>56</v>
      </c>
      <c r="H108" s="217" t="e">
        <f ca="1">0.000001*INDIRECT($B108&amp;"!AC7")</f>
        <v>#VALUE!</v>
      </c>
      <c r="I108" s="9"/>
      <c r="J108" s="218" t="e">
        <f ca="1">H108/D108-1</f>
        <v>#VALUE!</v>
      </c>
      <c r="L108" s="65" t="str">
        <f ca="1">INDIRECT($B108&amp;"!"&amp;L$3&amp;"7")</f>
        <v/>
      </c>
      <c r="M108" s="66" t="str">
        <f ca="1">INDIRECT($B108&amp;"!"&amp;M$3&amp;"7")</f>
        <v/>
      </c>
      <c r="N108" s="67" t="e">
        <f ca="1">M108-L108</f>
        <v>#VALUE!</v>
      </c>
      <c r="O108" s="216"/>
      <c r="P108" s="168"/>
      <c r="Q108" s="216"/>
      <c r="R108" s="9"/>
      <c r="S108" s="9"/>
      <c r="T108" s="9"/>
      <c r="U108" s="9"/>
      <c r="V108" s="219"/>
      <c r="X108" s="6"/>
      <c r="Y108" s="6"/>
      <c r="Z108" s="56"/>
    </row>
    <row r="109" spans="2:28" x14ac:dyDescent="0.25">
      <c r="B109" s="86" t="str">
        <f>B108</f>
        <v>Tango_Duo</v>
      </c>
      <c r="C109" s="93" t="s">
        <v>57</v>
      </c>
      <c r="D109" s="217" t="e">
        <f ca="1">0.000001*INDIRECT($B109&amp;"!E8")</f>
        <v>#VALUE!</v>
      </c>
      <c r="E109" s="216"/>
      <c r="F109" s="86" t="str">
        <f>F108</f>
        <v>Tango_Duo</v>
      </c>
      <c r="G109" s="93" t="s">
        <v>57</v>
      </c>
      <c r="H109" s="217" t="e">
        <f ca="1">0.000001*INDIRECT($B109&amp;"!AC8")</f>
        <v>#VALUE!</v>
      </c>
      <c r="I109" s="9"/>
      <c r="J109" s="218" t="e">
        <f ca="1">H109/D109-1</f>
        <v>#VALUE!</v>
      </c>
      <c r="L109" s="65" t="str">
        <f ca="1">INDIRECT($B109&amp;"!"&amp;L$3&amp;"8")</f>
        <v/>
      </c>
      <c r="M109" s="66" t="str">
        <f ca="1">INDIRECT($B109&amp;"!"&amp;M$3&amp;"8")</f>
        <v/>
      </c>
      <c r="N109" s="67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6"/>
    </row>
    <row r="110" spans="2:28" ht="16.5" customHeight="1" thickBot="1" x14ac:dyDescent="0.3">
      <c r="B110" s="86" t="str">
        <f>B109</f>
        <v>Tango_Duo</v>
      </c>
      <c r="C110" s="93" t="s">
        <v>58</v>
      </c>
      <c r="D110" s="217" t="e">
        <f ca="1">0.000001*INDIRECT($B110&amp;"!E9")</f>
        <v>#VALUE!</v>
      </c>
      <c r="E110" s="216"/>
      <c r="F110" s="86" t="str">
        <f>F109</f>
        <v>Tango_Duo</v>
      </c>
      <c r="G110" s="93" t="s">
        <v>58</v>
      </c>
      <c r="H110" s="217" t="e">
        <f ca="1">0.000001*INDIRECT($B110&amp;"!AC9")</f>
        <v>#VALUE!</v>
      </c>
      <c r="I110" s="9"/>
      <c r="J110" s="218" t="e">
        <f ca="1">H110/D110-1</f>
        <v>#VALUE!</v>
      </c>
      <c r="L110" s="65" t="str">
        <f ca="1">INDIRECT($B110&amp;"!"&amp;L$3&amp;"9")</f>
        <v/>
      </c>
      <c r="M110" s="66" t="str">
        <f ca="1">INDIRECT($B110&amp;"!"&amp;M$3&amp;"9")</f>
        <v/>
      </c>
      <c r="N110" s="67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6"/>
      <c r="AB110" s="220"/>
    </row>
    <row r="111" spans="2:28" ht="16.5" customHeight="1" x14ac:dyDescent="0.25">
      <c r="B111" s="80"/>
      <c r="C111" s="81"/>
      <c r="D111" s="222"/>
      <c r="F111" s="80"/>
      <c r="G111" s="81"/>
      <c r="H111" s="222"/>
      <c r="J111" s="69" t="e">
        <f ca="1">MIN(D106:D110,H106:H110)</f>
        <v>#VALUE!</v>
      </c>
      <c r="L111" s="70"/>
      <c r="M111" s="71"/>
      <c r="N111" s="72"/>
      <c r="O111" s="216"/>
      <c r="P111" s="205"/>
      <c r="Q111" s="216"/>
      <c r="R111" s="9"/>
      <c r="S111" s="9"/>
      <c r="T111" s="9"/>
      <c r="U111" s="9"/>
      <c r="V111" s="57"/>
      <c r="X111" s="6"/>
      <c r="Y111" s="6"/>
      <c r="Z111" s="56"/>
    </row>
    <row r="112" spans="2:28" ht="16.5" customHeight="1" thickBot="1" x14ac:dyDescent="0.3">
      <c r="B112" s="62"/>
      <c r="C112" s="63"/>
      <c r="D112" s="223"/>
      <c r="E112" s="216"/>
      <c r="F112" s="62"/>
      <c r="G112" s="63"/>
      <c r="H112" s="223"/>
      <c r="I112" s="9"/>
      <c r="J112" s="73" t="e">
        <f ca="1">MAX(D106:D110,H106:H110)</f>
        <v>#VALUE!</v>
      </c>
      <c r="L112" s="74">
        <f>L111</f>
        <v>0</v>
      </c>
      <c r="M112" s="75">
        <f>M111</f>
        <v>0</v>
      </c>
      <c r="N112" s="68"/>
      <c r="O112" s="216"/>
      <c r="P112" s="5"/>
      <c r="Q112" s="216"/>
      <c r="R112" s="9"/>
      <c r="S112" s="9"/>
      <c r="T112" s="9"/>
      <c r="U112" s="9"/>
      <c r="V112" s="57"/>
      <c r="X112" s="58"/>
      <c r="Y112" s="58"/>
      <c r="Z112" s="56"/>
    </row>
    <row r="113" spans="2:28" ht="18" customHeight="1" thickBot="1" x14ac:dyDescent="0.3"/>
    <row r="114" spans="2:28" x14ac:dyDescent="0.25">
      <c r="B114" s="265" t="s">
        <v>31</v>
      </c>
      <c r="C114" s="260"/>
      <c r="D114" s="261"/>
      <c r="E114" s="2"/>
      <c r="F114" s="265" t="str">
        <f>B114</f>
        <v>Solo_Tango_Female</v>
      </c>
      <c r="G114" s="260"/>
      <c r="H114" s="261"/>
      <c r="J114" s="205"/>
      <c r="L114" s="259" t="str">
        <f>F114</f>
        <v>Solo_Tango_Female</v>
      </c>
      <c r="M114" s="260"/>
      <c r="N114" s="261"/>
      <c r="O114" s="149"/>
      <c r="P114" s="205"/>
    </row>
    <row r="115" spans="2:28" x14ac:dyDescent="0.25">
      <c r="B115" s="262" t="s">
        <v>47</v>
      </c>
      <c r="C115" s="257"/>
      <c r="D115" s="61" t="s">
        <v>48</v>
      </c>
      <c r="E115" s="216"/>
      <c r="F115" s="262" t="s">
        <v>47</v>
      </c>
      <c r="G115" s="257"/>
      <c r="H115" s="61" t="s">
        <v>48</v>
      </c>
      <c r="J115" s="203" t="s">
        <v>49</v>
      </c>
      <c r="L115" s="256" t="s">
        <v>64</v>
      </c>
      <c r="M115" s="257"/>
      <c r="N115" s="258"/>
      <c r="O115" s="59"/>
      <c r="P115" s="3"/>
    </row>
    <row r="116" spans="2:28" x14ac:dyDescent="0.25">
      <c r="B116" s="145" t="s">
        <v>0</v>
      </c>
      <c r="C116" s="93" t="s">
        <v>51</v>
      </c>
      <c r="D116" s="60" t="s">
        <v>52</v>
      </c>
      <c r="E116" s="216"/>
      <c r="F116" s="145" t="s">
        <v>0</v>
      </c>
      <c r="G116" s="93" t="s">
        <v>51</v>
      </c>
      <c r="H116" s="60" t="s">
        <v>52</v>
      </c>
      <c r="J116" s="64"/>
      <c r="L116" s="146" t="str">
        <f>CONCATENATE(B$2," ",L114)</f>
        <v>MPEG151-octree Solo_Tango_Female</v>
      </c>
      <c r="M116" s="147" t="str">
        <f>CONCATENATE(F$2," ",L114)</f>
        <v>MPEG151-修改上下文 Solo_Tango_Female</v>
      </c>
      <c r="N116" s="148" t="s">
        <v>53</v>
      </c>
      <c r="O116" s="2"/>
      <c r="P116" s="3" t="s">
        <v>44</v>
      </c>
      <c r="AB116" s="220"/>
    </row>
    <row r="117" spans="2:28" x14ac:dyDescent="0.25">
      <c r="B117" s="86" t="str">
        <f>B114</f>
        <v>Solo_Tango_Female</v>
      </c>
      <c r="C117" s="93" t="s">
        <v>54</v>
      </c>
      <c r="D117" s="217" t="e">
        <f ca="1">0.000001*INDIRECT($B117&amp;"!E5")</f>
        <v>#VALUE!</v>
      </c>
      <c r="E117" s="216"/>
      <c r="F117" s="86" t="str">
        <f>F114</f>
        <v>Solo_Tango_Female</v>
      </c>
      <c r="G117" s="93" t="s">
        <v>54</v>
      </c>
      <c r="H117" s="217" t="e">
        <f ca="1">0.000001*INDIRECT($B117&amp;"!AC5")</f>
        <v>#VALUE!</v>
      </c>
      <c r="J117" s="218" t="e">
        <f ca="1">H117/D117-1</f>
        <v>#VALUE!</v>
      </c>
      <c r="L117" s="65" t="str">
        <f ca="1">INDIRECT($B117&amp;"!"&amp;L$3&amp;"5")</f>
        <v/>
      </c>
      <c r="M117" s="66" t="str">
        <f ca="1">INDIRECT($B117&amp;"!"&amp;M$3&amp;"5")</f>
        <v/>
      </c>
      <c r="N117" s="67" t="e">
        <f ca="1">M117-L117</f>
        <v>#VALUE!</v>
      </c>
      <c r="O117" s="216"/>
      <c r="P117" s="218" t="e">
        <f ca="1">bdRateExtend(D117:D121,L117:L121,H117:H121,M117:M121)</f>
        <v>#VALUE!</v>
      </c>
    </row>
    <row r="118" spans="2:28" x14ac:dyDescent="0.25">
      <c r="B118" s="86" t="str">
        <f>B117</f>
        <v>Solo_Tango_Female</v>
      </c>
      <c r="C118" s="93" t="s">
        <v>55</v>
      </c>
      <c r="D118" s="217" t="e">
        <f ca="1">0.000001*INDIRECT($B118&amp;"!E6")</f>
        <v>#VALUE!</v>
      </c>
      <c r="E118" s="216"/>
      <c r="F118" s="86" t="str">
        <f>F117</f>
        <v>Solo_Tango_Female</v>
      </c>
      <c r="G118" s="93" t="s">
        <v>55</v>
      </c>
      <c r="H118" s="217" t="e">
        <f ca="1">0.000001*INDIRECT($B118&amp;"!AC6")</f>
        <v>#VALUE!</v>
      </c>
      <c r="J118" s="218" t="e">
        <f ca="1">H118/D118-1</f>
        <v>#VALUE!</v>
      </c>
      <c r="L118" s="65" t="str">
        <f ca="1">INDIRECT($B118&amp;"!"&amp;L$3&amp;"6")</f>
        <v/>
      </c>
      <c r="M118" s="66" t="str">
        <f ca="1">INDIRECT($B118&amp;"!"&amp;M$3&amp;"6")</f>
        <v/>
      </c>
      <c r="N118" s="67" t="e">
        <f ca="1">M118-L118</f>
        <v>#VALUE!</v>
      </c>
      <c r="O118" s="216"/>
      <c r="P118" s="3"/>
    </row>
    <row r="119" spans="2:28" ht="16.5" customHeight="1" x14ac:dyDescent="0.25">
      <c r="B119" s="86" t="str">
        <f>B118</f>
        <v>Solo_Tango_Female</v>
      </c>
      <c r="C119" s="93" t="s">
        <v>56</v>
      </c>
      <c r="D119" s="217" t="e">
        <f ca="1">0.000001*INDIRECT($B119&amp;"!E7")</f>
        <v>#VALUE!</v>
      </c>
      <c r="E119" s="216"/>
      <c r="F119" s="86" t="str">
        <f>F118</f>
        <v>Solo_Tango_Female</v>
      </c>
      <c r="G119" s="93" t="s">
        <v>56</v>
      </c>
      <c r="H119" s="217" t="e">
        <f ca="1">0.000001*INDIRECT($B119&amp;"!AC7")</f>
        <v>#VALUE!</v>
      </c>
      <c r="J119" s="218" t="e">
        <f ca="1">H119/D119-1</f>
        <v>#VALUE!</v>
      </c>
      <c r="L119" s="65" t="str">
        <f ca="1">INDIRECT($B119&amp;"!"&amp;L$3&amp;"7")</f>
        <v/>
      </c>
      <c r="M119" s="66" t="str">
        <f ca="1">INDIRECT($B119&amp;"!"&amp;M$3&amp;"7")</f>
        <v/>
      </c>
      <c r="N119" s="67" t="e">
        <f ca="1">M119-L119</f>
        <v>#VALUE!</v>
      </c>
      <c r="O119" s="216"/>
      <c r="P119" s="168"/>
      <c r="AB119" s="220"/>
    </row>
    <row r="120" spans="2:28" x14ac:dyDescent="0.25">
      <c r="B120" s="86" t="str">
        <f>B119</f>
        <v>Solo_Tango_Female</v>
      </c>
      <c r="C120" s="93" t="s">
        <v>57</v>
      </c>
      <c r="D120" s="217" t="e">
        <f ca="1">0.000001*INDIRECT($B120&amp;"!E8")</f>
        <v>#VALUE!</v>
      </c>
      <c r="E120" s="216"/>
      <c r="F120" s="86" t="str">
        <f>F119</f>
        <v>Solo_Tango_Female</v>
      </c>
      <c r="G120" s="93" t="s">
        <v>57</v>
      </c>
      <c r="H120" s="217" t="e">
        <f ca="1">0.000001*INDIRECT($B120&amp;"!AC8")</f>
        <v>#VALUE!</v>
      </c>
      <c r="J120" s="218" t="e">
        <f ca="1">H120/D120-1</f>
        <v>#VALUE!</v>
      </c>
      <c r="L120" s="65" t="str">
        <f ca="1">INDIRECT($B120&amp;"!"&amp;L$3&amp;"8")</f>
        <v/>
      </c>
      <c r="M120" s="66" t="str">
        <f ca="1">INDIRECT($B120&amp;"!"&amp;M$3&amp;"8")</f>
        <v/>
      </c>
      <c r="N120" s="67" t="e">
        <f ca="1">M120-L120</f>
        <v>#VALUE!</v>
      </c>
      <c r="O120" s="216"/>
      <c r="P120" s="225"/>
    </row>
    <row r="121" spans="2:28" ht="16.5" customHeight="1" thickBot="1" x14ac:dyDescent="0.3">
      <c r="B121" s="86" t="str">
        <f>B120</f>
        <v>Solo_Tango_Female</v>
      </c>
      <c r="C121" s="93" t="s">
        <v>58</v>
      </c>
      <c r="D121" s="217" t="e">
        <f ca="1">0.000001*INDIRECT($B121&amp;"!E9")</f>
        <v>#VALUE!</v>
      </c>
      <c r="E121" s="216"/>
      <c r="F121" s="86" t="str">
        <f>F120</f>
        <v>Solo_Tango_Female</v>
      </c>
      <c r="G121" s="93" t="s">
        <v>58</v>
      </c>
      <c r="H121" s="217" t="e">
        <f ca="1">0.000001*INDIRECT($B121&amp;"!AC9")</f>
        <v>#VALUE!</v>
      </c>
      <c r="J121" s="218" t="e">
        <f ca="1">H121/D121-1</f>
        <v>#VALUE!</v>
      </c>
      <c r="L121" s="65" t="str">
        <f ca="1">INDIRECT($B121&amp;"!"&amp;L$3&amp;"9")</f>
        <v/>
      </c>
      <c r="M121" s="66" t="str">
        <f ca="1">INDIRECT($B121&amp;"!"&amp;M$3&amp;"9")</f>
        <v/>
      </c>
      <c r="N121" s="67" t="e">
        <f ca="1">M121-L121</f>
        <v>#VALUE!</v>
      </c>
      <c r="O121" s="216"/>
      <c r="P121" s="221"/>
    </row>
    <row r="122" spans="2:28" ht="16.5" customHeight="1" x14ac:dyDescent="0.25">
      <c r="B122" s="80"/>
      <c r="C122" s="81"/>
      <c r="D122" s="222"/>
      <c r="F122" s="80"/>
      <c r="G122" s="81"/>
      <c r="H122" s="222"/>
      <c r="J122" s="69" t="e">
        <f ca="1">MIN(D117:D121,H117:H121)</f>
        <v>#VALUE!</v>
      </c>
      <c r="L122" s="70"/>
      <c r="M122" s="71"/>
      <c r="N122" s="72"/>
      <c r="O122" s="216"/>
      <c r="P122" s="205"/>
    </row>
    <row r="123" spans="2:28" ht="18" customHeight="1" thickBot="1" x14ac:dyDescent="0.3">
      <c r="B123" s="62"/>
      <c r="C123" s="63"/>
      <c r="D123" s="223"/>
      <c r="E123" s="216"/>
      <c r="F123" s="62"/>
      <c r="G123" s="63"/>
      <c r="H123" s="223"/>
      <c r="J123" s="73" t="e">
        <f ca="1">MAX(D117:D121,H117:H121)</f>
        <v>#VALUE!</v>
      </c>
      <c r="L123" s="74">
        <f>L122</f>
        <v>0</v>
      </c>
      <c r="M123" s="75">
        <f>M122</f>
        <v>0</v>
      </c>
      <c r="N123" s="68"/>
      <c r="O123" s="216"/>
      <c r="P123" s="5"/>
    </row>
    <row r="124" spans="2:28" ht="18" customHeight="1" thickBot="1" x14ac:dyDescent="0.3"/>
    <row r="125" spans="2:28" x14ac:dyDescent="0.25">
      <c r="B125" s="265" t="s">
        <v>32</v>
      </c>
      <c r="C125" s="260"/>
      <c r="D125" s="261"/>
      <c r="E125" s="2"/>
      <c r="F125" s="265" t="str">
        <f>B125</f>
        <v>Solo_Tango_Male</v>
      </c>
      <c r="G125" s="260"/>
      <c r="H125" s="261"/>
      <c r="J125" s="205"/>
      <c r="L125" s="259" t="str">
        <f>F125</f>
        <v>Solo_Tango_Male</v>
      </c>
      <c r="M125" s="260"/>
      <c r="N125" s="261"/>
      <c r="O125" s="149"/>
      <c r="P125" s="205"/>
    </row>
    <row r="126" spans="2:28" x14ac:dyDescent="0.25">
      <c r="B126" s="262" t="s">
        <v>47</v>
      </c>
      <c r="C126" s="257"/>
      <c r="D126" s="61" t="s">
        <v>48</v>
      </c>
      <c r="E126" s="216"/>
      <c r="F126" s="262" t="s">
        <v>47</v>
      </c>
      <c r="G126" s="257"/>
      <c r="H126" s="61" t="s">
        <v>48</v>
      </c>
      <c r="J126" s="203" t="s">
        <v>49</v>
      </c>
      <c r="L126" s="256" t="s">
        <v>64</v>
      </c>
      <c r="M126" s="257"/>
      <c r="N126" s="258"/>
      <c r="O126" s="59"/>
      <c r="P126" s="3"/>
      <c r="AB126" s="220"/>
    </row>
    <row r="127" spans="2:28" x14ac:dyDescent="0.25">
      <c r="B127" s="145" t="s">
        <v>0</v>
      </c>
      <c r="C127" s="93" t="s">
        <v>51</v>
      </c>
      <c r="D127" s="60" t="s">
        <v>52</v>
      </c>
      <c r="E127" s="216"/>
      <c r="F127" s="145" t="s">
        <v>0</v>
      </c>
      <c r="G127" s="93" t="s">
        <v>51</v>
      </c>
      <c r="H127" s="60" t="s">
        <v>52</v>
      </c>
      <c r="J127" s="64"/>
      <c r="L127" s="146" t="str">
        <f>CONCATENATE(B$2," ",L125)</f>
        <v>MPEG151-octree Solo_Tango_Male</v>
      </c>
      <c r="M127" s="147" t="str">
        <f>CONCATENATE(F$2," ",L125)</f>
        <v>MPEG151-修改上下文 Solo_Tango_Male</v>
      </c>
      <c r="N127" s="148" t="s">
        <v>53</v>
      </c>
      <c r="O127" s="2"/>
      <c r="P127" s="3" t="s">
        <v>44</v>
      </c>
    </row>
    <row r="128" spans="2:28" x14ac:dyDescent="0.25">
      <c r="B128" s="86" t="str">
        <f>B125</f>
        <v>Solo_Tango_Male</v>
      </c>
      <c r="C128" s="93" t="s">
        <v>54</v>
      </c>
      <c r="D128" s="217" t="e">
        <f ca="1">0.000001*INDIRECT($B128&amp;"!E5")</f>
        <v>#VALUE!</v>
      </c>
      <c r="E128" s="216"/>
      <c r="F128" s="86" t="str">
        <f>F125</f>
        <v>Solo_Tango_Male</v>
      </c>
      <c r="G128" s="93" t="s">
        <v>54</v>
      </c>
      <c r="H128" s="217" t="e">
        <f ca="1">0.000001*INDIRECT($B128&amp;"!AC5")</f>
        <v>#VALUE!</v>
      </c>
      <c r="J128" s="218" t="e">
        <f ca="1">H128/D128-1</f>
        <v>#VALUE!</v>
      </c>
      <c r="L128" s="65" t="str">
        <f ca="1">INDIRECT($B128&amp;"!"&amp;L$3&amp;"5")</f>
        <v/>
      </c>
      <c r="M128" s="66" t="str">
        <f ca="1">INDIRECT($B128&amp;"!"&amp;M$3&amp;"5")</f>
        <v/>
      </c>
      <c r="N128" s="67" t="e">
        <f ca="1">M128-L128</f>
        <v>#VALUE!</v>
      </c>
      <c r="O128" s="216"/>
      <c r="P128" s="218" t="e">
        <f ca="1">bdRateExtend(D128:D132,L128:L132,H128:H132,M128:M132)</f>
        <v>#VALUE!</v>
      </c>
    </row>
    <row r="129" spans="2:28" ht="16.5" customHeight="1" x14ac:dyDescent="0.25">
      <c r="B129" s="86" t="str">
        <f>B128</f>
        <v>Solo_Tango_Male</v>
      </c>
      <c r="C129" s="93" t="s">
        <v>55</v>
      </c>
      <c r="D129" s="217" t="e">
        <f ca="1">0.000001*INDIRECT($B129&amp;"!E6")</f>
        <v>#VALUE!</v>
      </c>
      <c r="E129" s="216"/>
      <c r="F129" s="86" t="str">
        <f>F128</f>
        <v>Solo_Tango_Male</v>
      </c>
      <c r="G129" s="93" t="s">
        <v>55</v>
      </c>
      <c r="H129" s="217" t="e">
        <f ca="1">0.000001*INDIRECT($B129&amp;"!AC6")</f>
        <v>#VALUE!</v>
      </c>
      <c r="J129" s="218" t="e">
        <f ca="1">H129/D129-1</f>
        <v>#VALUE!</v>
      </c>
      <c r="L129" s="65" t="str">
        <f ca="1">INDIRECT($B129&amp;"!"&amp;L$3&amp;"6")</f>
        <v/>
      </c>
      <c r="M129" s="66" t="str">
        <f ca="1">INDIRECT($B129&amp;"!"&amp;M$3&amp;"6")</f>
        <v/>
      </c>
      <c r="N129" s="67" t="e">
        <f ca="1">M129-L129</f>
        <v>#VALUE!</v>
      </c>
      <c r="O129" s="216"/>
      <c r="P129" s="3"/>
      <c r="AB129" s="220"/>
    </row>
    <row r="130" spans="2:28" x14ac:dyDescent="0.25">
      <c r="B130" s="86" t="str">
        <f>B129</f>
        <v>Solo_Tango_Male</v>
      </c>
      <c r="C130" s="93" t="s">
        <v>56</v>
      </c>
      <c r="D130" s="217" t="e">
        <f ca="1">0.000001*INDIRECT($B130&amp;"!E7")</f>
        <v>#VALUE!</v>
      </c>
      <c r="E130" s="216"/>
      <c r="F130" s="86" t="str">
        <f>F129</f>
        <v>Solo_Tango_Male</v>
      </c>
      <c r="G130" s="93" t="s">
        <v>56</v>
      </c>
      <c r="H130" s="217" t="e">
        <f ca="1">0.000001*INDIRECT($B130&amp;"!AC7")</f>
        <v>#VALUE!</v>
      </c>
      <c r="J130" s="218" t="e">
        <f ca="1">H130/D130-1</f>
        <v>#VALUE!</v>
      </c>
      <c r="L130" s="65" t="str">
        <f ca="1">INDIRECT($B130&amp;"!"&amp;L$3&amp;"7")</f>
        <v/>
      </c>
      <c r="M130" s="66" t="str">
        <f ca="1">INDIRECT($B130&amp;"!"&amp;M$3&amp;"7")</f>
        <v/>
      </c>
      <c r="N130" s="67" t="e">
        <f ca="1">M130-L130</f>
        <v>#VALUE!</v>
      </c>
      <c r="O130" s="216"/>
      <c r="P130" s="168"/>
    </row>
    <row r="131" spans="2:28" ht="16.5" customHeight="1" x14ac:dyDescent="0.25">
      <c r="B131" s="86" t="str">
        <f>B130</f>
        <v>Solo_Tango_Male</v>
      </c>
      <c r="C131" s="93" t="s">
        <v>57</v>
      </c>
      <c r="D131" s="217" t="e">
        <f ca="1">0.000001*INDIRECT($B131&amp;"!E8")</f>
        <v>#VALUE!</v>
      </c>
      <c r="E131" s="216"/>
      <c r="F131" s="86" t="str">
        <f>F130</f>
        <v>Solo_Tango_Male</v>
      </c>
      <c r="G131" s="93" t="s">
        <v>57</v>
      </c>
      <c r="H131" s="217" t="e">
        <f ca="1">0.000001*INDIRECT($B131&amp;"!AC8")</f>
        <v>#VALUE!</v>
      </c>
      <c r="J131" s="218" t="e">
        <f ca="1">H131/D131-1</f>
        <v>#VALUE!</v>
      </c>
      <c r="L131" s="65" t="str">
        <f ca="1">INDIRECT($B131&amp;"!"&amp;L$3&amp;"8")</f>
        <v/>
      </c>
      <c r="M131" s="66" t="str">
        <f ca="1">INDIRECT($B131&amp;"!"&amp;M$3&amp;"8")</f>
        <v/>
      </c>
      <c r="N131" s="67" t="e">
        <f ca="1">M131-L131</f>
        <v>#VALUE!</v>
      </c>
      <c r="O131" s="216"/>
      <c r="P131" s="225"/>
    </row>
    <row r="132" spans="2:28" ht="16.5" customHeight="1" thickBot="1" x14ac:dyDescent="0.3">
      <c r="B132" s="86" t="str">
        <f>B131</f>
        <v>Solo_Tango_Male</v>
      </c>
      <c r="C132" s="93" t="s">
        <v>58</v>
      </c>
      <c r="D132" s="217" t="e">
        <f ca="1">0.000001*INDIRECT($B132&amp;"!E9")</f>
        <v>#VALUE!</v>
      </c>
      <c r="E132" s="216"/>
      <c r="F132" s="86" t="str">
        <f>F131</f>
        <v>Solo_Tango_Male</v>
      </c>
      <c r="G132" s="93" t="s">
        <v>58</v>
      </c>
      <c r="H132" s="217" t="e">
        <f ca="1">0.000001*INDIRECT($B132&amp;"!AC9")</f>
        <v>#VALUE!</v>
      </c>
      <c r="J132" s="218" t="e">
        <f ca="1">H132/D132-1</f>
        <v>#VALUE!</v>
      </c>
      <c r="L132" s="65" t="str">
        <f ca="1">INDIRECT($B132&amp;"!"&amp;L$3&amp;"9")</f>
        <v/>
      </c>
      <c r="M132" s="66" t="str">
        <f ca="1">INDIRECT($B132&amp;"!"&amp;M$3&amp;"9")</f>
        <v/>
      </c>
      <c r="N132" s="67" t="e">
        <f ca="1">M132-L132</f>
        <v>#VALUE!</v>
      </c>
      <c r="O132" s="216"/>
      <c r="P132" s="221"/>
    </row>
    <row r="133" spans="2:28" x14ac:dyDescent="0.25">
      <c r="B133" s="80"/>
      <c r="C133" s="81"/>
      <c r="D133" s="222"/>
      <c r="F133" s="80"/>
      <c r="G133" s="81"/>
      <c r="H133" s="222"/>
      <c r="J133" s="69" t="e">
        <f ca="1">MIN(D128:D132,H128:H132)</f>
        <v>#VALUE!</v>
      </c>
      <c r="L133" s="70"/>
      <c r="M133" s="71"/>
      <c r="N133" s="72"/>
      <c r="O133" s="216"/>
      <c r="P133" s="205"/>
    </row>
    <row r="134" spans="2:28" ht="18" customHeight="1" thickBot="1" x14ac:dyDescent="0.3">
      <c r="B134" s="62"/>
      <c r="C134" s="63"/>
      <c r="D134" s="223"/>
      <c r="E134" s="216"/>
      <c r="F134" s="62"/>
      <c r="G134" s="63"/>
      <c r="H134" s="223"/>
      <c r="J134" s="73" t="e">
        <f ca="1">MAX(D128:D132,H128:H132)</f>
        <v>#VALUE!</v>
      </c>
      <c r="L134" s="74">
        <f>L133</f>
        <v>0</v>
      </c>
      <c r="M134" s="75">
        <f>M133</f>
        <v>0</v>
      </c>
      <c r="N134" s="68"/>
      <c r="O134" s="216"/>
      <c r="P134" s="5"/>
    </row>
    <row r="135" spans="2:28" ht="18" customHeight="1" thickBot="1" x14ac:dyDescent="0.3"/>
    <row r="136" spans="2:28" x14ac:dyDescent="0.25">
      <c r="B136" s="265" t="s">
        <v>33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205"/>
      <c r="L136" s="259" t="str">
        <f>F136</f>
        <v>BlueBackpack_UVGgs_0100</v>
      </c>
      <c r="M136" s="260"/>
      <c r="N136" s="261"/>
      <c r="O136" s="149"/>
      <c r="P136" s="205"/>
      <c r="AB136" s="220"/>
    </row>
    <row r="137" spans="2:28" x14ac:dyDescent="0.25">
      <c r="B137" s="262" t="s">
        <v>47</v>
      </c>
      <c r="C137" s="257"/>
      <c r="D137" s="61" t="s">
        <v>48</v>
      </c>
      <c r="E137" s="216"/>
      <c r="F137" s="262" t="s">
        <v>47</v>
      </c>
      <c r="G137" s="257"/>
      <c r="H137" s="61" t="s">
        <v>48</v>
      </c>
      <c r="J137" s="203" t="s">
        <v>49</v>
      </c>
      <c r="L137" s="256" t="s">
        <v>64</v>
      </c>
      <c r="M137" s="257"/>
      <c r="N137" s="258"/>
      <c r="O137" s="59"/>
      <c r="P137" s="3"/>
    </row>
    <row r="138" spans="2:28" x14ac:dyDescent="0.25">
      <c r="B138" s="145" t="s">
        <v>0</v>
      </c>
      <c r="C138" s="93" t="s">
        <v>51</v>
      </c>
      <c r="D138" s="60" t="s">
        <v>52</v>
      </c>
      <c r="E138" s="216"/>
      <c r="F138" s="145" t="s">
        <v>0</v>
      </c>
      <c r="G138" s="93" t="s">
        <v>51</v>
      </c>
      <c r="H138" s="60" t="s">
        <v>52</v>
      </c>
      <c r="J138" s="64"/>
      <c r="L138" s="146" t="str">
        <f>CONCATENATE(B$2," ",L136)</f>
        <v>MPEG151-octree BlueBackpack_UVGgs_0100</v>
      </c>
      <c r="M138" s="147" t="str">
        <f>CONCATENATE(F$2," ",L136)</f>
        <v>MPEG151-修改上下文 BlueBackpack_UVGgs_0100</v>
      </c>
      <c r="N138" s="148" t="s">
        <v>53</v>
      </c>
      <c r="O138" s="2"/>
      <c r="P138" s="3" t="s">
        <v>44</v>
      </c>
    </row>
    <row r="139" spans="2:28" ht="16.5" customHeight="1" x14ac:dyDescent="0.25">
      <c r="B139" s="86" t="str">
        <f>B136</f>
        <v>BlueBackpack_UVGgs_0100</v>
      </c>
      <c r="C139" s="93" t="s">
        <v>54</v>
      </c>
      <c r="D139" s="217" t="e">
        <f ca="1">0.000001*INDIRECT($B139&amp;"!E5")</f>
        <v>#VALUE!</v>
      </c>
      <c r="E139" s="216"/>
      <c r="F139" s="86" t="str">
        <f>F136</f>
        <v>BlueBackpack_UVGgs_0100</v>
      </c>
      <c r="G139" s="93" t="s">
        <v>54</v>
      </c>
      <c r="H139" s="217" t="e">
        <f ca="1">0.000001*INDIRECT($B139&amp;"!AC5")</f>
        <v>#VALUE!</v>
      </c>
      <c r="J139" s="218" t="e">
        <f ca="1">H139/D139-1</f>
        <v>#VALUE!</v>
      </c>
      <c r="L139" s="65" t="str">
        <f ca="1">INDIRECT($B139&amp;"!"&amp;L$3&amp;"5")</f>
        <v/>
      </c>
      <c r="M139" s="66" t="str">
        <f ca="1">INDIRECT($B139&amp;"!"&amp;M$3&amp;"5")</f>
        <v/>
      </c>
      <c r="N139" s="67" t="e">
        <f ca="1">M139-L139</f>
        <v>#VALUE!</v>
      </c>
      <c r="O139" s="216"/>
      <c r="P139" s="218" t="e">
        <f ca="1">bdRateExtend(D139:D143,L139:L143,H139:H143,M139:M143)</f>
        <v>#VALUE!</v>
      </c>
      <c r="AB139" s="220"/>
    </row>
    <row r="140" spans="2:28" x14ac:dyDescent="0.25">
      <c r="B140" s="86" t="str">
        <f>B139</f>
        <v>BlueBackpack_UVGgs_0100</v>
      </c>
      <c r="C140" s="93" t="s">
        <v>55</v>
      </c>
      <c r="D140" s="217" t="e">
        <f ca="1">0.000001*INDIRECT($B140&amp;"!E6")</f>
        <v>#VALUE!</v>
      </c>
      <c r="E140" s="216"/>
      <c r="F140" s="86" t="str">
        <f>F139</f>
        <v>BlueBackpack_UVGgs_0100</v>
      </c>
      <c r="G140" s="93" t="s">
        <v>55</v>
      </c>
      <c r="H140" s="217" t="e">
        <f ca="1">0.000001*INDIRECT($B140&amp;"!AC6")</f>
        <v>#VALUE!</v>
      </c>
      <c r="J140" s="218" t="e">
        <f ca="1">H140/D140-1</f>
        <v>#VALUE!</v>
      </c>
      <c r="L140" s="65" t="str">
        <f ca="1">INDIRECT($B140&amp;"!"&amp;L$3&amp;"6")</f>
        <v/>
      </c>
      <c r="M140" s="66" t="str">
        <f ca="1">INDIRECT($B140&amp;"!"&amp;M$3&amp;"6")</f>
        <v/>
      </c>
      <c r="N140" s="67" t="e">
        <f ca="1">M140-L140</f>
        <v>#VALUE!</v>
      </c>
      <c r="O140" s="216"/>
      <c r="P140" s="3"/>
    </row>
    <row r="141" spans="2:28" ht="16.5" customHeight="1" x14ac:dyDescent="0.25">
      <c r="B141" s="86" t="str">
        <f>B140</f>
        <v>BlueBackpack_UVGgs_0100</v>
      </c>
      <c r="C141" s="93" t="s">
        <v>56</v>
      </c>
      <c r="D141" s="217" t="e">
        <f ca="1">0.000001*INDIRECT($B141&amp;"!E7")</f>
        <v>#VALUE!</v>
      </c>
      <c r="E141" s="216"/>
      <c r="F141" s="86" t="str">
        <f>F140</f>
        <v>BlueBackpack_UVGgs_0100</v>
      </c>
      <c r="G141" s="93" t="s">
        <v>56</v>
      </c>
      <c r="H141" s="217" t="e">
        <f ca="1">0.000001*INDIRECT($B141&amp;"!AC7")</f>
        <v>#VALUE!</v>
      </c>
      <c r="J141" s="218" t="e">
        <f ca="1">H141/D141-1</f>
        <v>#VALUE!</v>
      </c>
      <c r="L141" s="65" t="str">
        <f ca="1">INDIRECT($B141&amp;"!"&amp;L$3&amp;"7")</f>
        <v/>
      </c>
      <c r="M141" s="66" t="str">
        <f ca="1">INDIRECT($B141&amp;"!"&amp;M$3&amp;"7")</f>
        <v/>
      </c>
      <c r="N141" s="67" t="e">
        <f ca="1">M141-L141</f>
        <v>#VALUE!</v>
      </c>
      <c r="O141" s="216"/>
      <c r="P141" s="168"/>
    </row>
    <row r="142" spans="2:28" ht="16.5" customHeight="1" x14ac:dyDescent="0.25">
      <c r="B142" s="86" t="str">
        <f>B141</f>
        <v>BlueBackpack_UVGgs_0100</v>
      </c>
      <c r="C142" s="93" t="s">
        <v>57</v>
      </c>
      <c r="D142" s="217" t="e">
        <f ca="1">0.000001*INDIRECT($B142&amp;"!E8")</f>
        <v>#VALUE!</v>
      </c>
      <c r="E142" s="216"/>
      <c r="F142" s="86" t="str">
        <f>F141</f>
        <v>BlueBackpack_UVGgs_0100</v>
      </c>
      <c r="G142" s="93" t="s">
        <v>57</v>
      </c>
      <c r="H142" s="217" t="e">
        <f ca="1">0.000001*INDIRECT($B142&amp;"!AC8")</f>
        <v>#VALUE!</v>
      </c>
      <c r="J142" s="218" t="e">
        <f ca="1">H142/D142-1</f>
        <v>#VALUE!</v>
      </c>
      <c r="L142" s="65" t="str">
        <f ca="1">INDIRECT($B142&amp;"!"&amp;L$3&amp;"8")</f>
        <v/>
      </c>
      <c r="M142" s="66" t="str">
        <f ca="1">INDIRECT($B142&amp;"!"&amp;M$3&amp;"8")</f>
        <v/>
      </c>
      <c r="N142" s="67" t="e">
        <f ca="1">M142-L142</f>
        <v>#VALUE!</v>
      </c>
      <c r="O142" s="216"/>
      <c r="P142" s="225"/>
    </row>
    <row r="143" spans="2:28" ht="18" customHeight="1" thickBot="1" x14ac:dyDescent="0.3">
      <c r="B143" s="86" t="str">
        <f>B142</f>
        <v>BlueBackpack_UVGgs_0100</v>
      </c>
      <c r="C143" s="93" t="s">
        <v>58</v>
      </c>
      <c r="D143" s="217" t="e">
        <f ca="1">0.000001*INDIRECT($B143&amp;"!E9")</f>
        <v>#VALUE!</v>
      </c>
      <c r="E143" s="216"/>
      <c r="F143" s="86" t="str">
        <f>F142</f>
        <v>BlueBackpack_UVGgs_0100</v>
      </c>
      <c r="G143" s="93" t="s">
        <v>58</v>
      </c>
      <c r="H143" s="217" t="e">
        <f ca="1">0.000001*INDIRECT($B143&amp;"!AC9")</f>
        <v>#VALUE!</v>
      </c>
      <c r="J143" s="218" t="e">
        <f ca="1">H143/D143-1</f>
        <v>#VALUE!</v>
      </c>
      <c r="L143" s="65" t="str">
        <f ca="1">INDIRECT($B143&amp;"!"&amp;L$3&amp;"9")</f>
        <v/>
      </c>
      <c r="M143" s="66" t="str">
        <f ca="1">INDIRECT($B143&amp;"!"&amp;M$3&amp;"9")</f>
        <v/>
      </c>
      <c r="N143" s="67" t="e">
        <f ca="1">M143-L143</f>
        <v>#VALUE!</v>
      </c>
      <c r="O143" s="216"/>
      <c r="P143" s="221"/>
    </row>
    <row r="144" spans="2:28" x14ac:dyDescent="0.25">
      <c r="B144" s="80"/>
      <c r="C144" s="81"/>
      <c r="D144" s="222"/>
      <c r="F144" s="80"/>
      <c r="G144" s="81"/>
      <c r="H144" s="222"/>
      <c r="J144" s="69" t="e">
        <f ca="1">MIN(D139:D143,H139:H143)</f>
        <v>#VALUE!</v>
      </c>
      <c r="L144" s="70"/>
      <c r="M144" s="71"/>
      <c r="N144" s="72"/>
      <c r="O144" s="216"/>
      <c r="P144" s="205"/>
    </row>
    <row r="145" spans="2:28" ht="18" customHeight="1" thickBot="1" x14ac:dyDescent="0.3">
      <c r="B145" s="62"/>
      <c r="C145" s="63"/>
      <c r="D145" s="223"/>
      <c r="E145" s="216"/>
      <c r="F145" s="62"/>
      <c r="G145" s="63"/>
      <c r="H145" s="223"/>
      <c r="J145" s="73" t="e">
        <f ca="1">MAX(D139:D143,H139:H143)</f>
        <v>#VALUE!</v>
      </c>
      <c r="L145" s="74">
        <f>L144</f>
        <v>0</v>
      </c>
      <c r="M145" s="75">
        <f>M144</f>
        <v>0</v>
      </c>
      <c r="N145" s="68"/>
      <c r="O145" s="216"/>
      <c r="P145" s="5"/>
    </row>
    <row r="146" spans="2:28" ht="18" customHeight="1" thickBot="1" x14ac:dyDescent="0.3">
      <c r="B146" s="83"/>
      <c r="C146" s="83"/>
      <c r="D146" s="224"/>
      <c r="E146" s="216"/>
      <c r="F146" s="83"/>
      <c r="G146" s="83"/>
      <c r="H146" s="224"/>
      <c r="AB146" s="220"/>
    </row>
    <row r="147" spans="2:28" x14ac:dyDescent="0.25">
      <c r="B147" s="265" t="s">
        <v>34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205"/>
      <c r="L147" s="259" t="str">
        <f>F147</f>
        <v>BlueBackpack_UVGgs_0200</v>
      </c>
      <c r="M147" s="260"/>
      <c r="N147" s="261"/>
      <c r="O147" s="149"/>
      <c r="P147" s="205"/>
    </row>
    <row r="148" spans="2:28" x14ac:dyDescent="0.25">
      <c r="B148" s="262" t="s">
        <v>47</v>
      </c>
      <c r="C148" s="257"/>
      <c r="D148" s="61" t="s">
        <v>48</v>
      </c>
      <c r="E148" s="216"/>
      <c r="F148" s="262" t="s">
        <v>47</v>
      </c>
      <c r="G148" s="257"/>
      <c r="H148" s="61" t="s">
        <v>48</v>
      </c>
      <c r="J148" s="203" t="s">
        <v>49</v>
      </c>
      <c r="L148" s="256" t="s">
        <v>64</v>
      </c>
      <c r="M148" s="257"/>
      <c r="N148" s="258"/>
      <c r="O148" s="59"/>
      <c r="P148" s="3"/>
    </row>
    <row r="149" spans="2:28" ht="16.5" customHeight="1" x14ac:dyDescent="0.25">
      <c r="B149" s="145" t="s">
        <v>0</v>
      </c>
      <c r="C149" s="93" t="s">
        <v>51</v>
      </c>
      <c r="D149" s="60" t="s">
        <v>52</v>
      </c>
      <c r="E149" s="216"/>
      <c r="F149" s="145" t="s">
        <v>0</v>
      </c>
      <c r="G149" s="93" t="s">
        <v>51</v>
      </c>
      <c r="H149" s="60" t="s">
        <v>52</v>
      </c>
      <c r="J149" s="64"/>
      <c r="L149" s="146" t="str">
        <f>CONCATENATE(B$2," ",L147)</f>
        <v>MPEG151-octree BlueBackpack_UVGgs_0200</v>
      </c>
      <c r="M149" s="147" t="str">
        <f>CONCATENATE(F$2," ",L147)</f>
        <v>MPEG151-修改上下文 BlueBackpack_UVGgs_0200</v>
      </c>
      <c r="N149" s="148" t="s">
        <v>53</v>
      </c>
      <c r="O149" s="2"/>
      <c r="P149" s="3" t="s">
        <v>44</v>
      </c>
      <c r="AB149" s="220"/>
    </row>
    <row r="150" spans="2:28" x14ac:dyDescent="0.25">
      <c r="B150" s="86" t="str">
        <f>B147</f>
        <v>BlueBackpack_UVGgs_0200</v>
      </c>
      <c r="C150" s="93" t="s">
        <v>54</v>
      </c>
      <c r="D150" s="217" t="e">
        <f ca="1">0.000001*INDIRECT($B150&amp;"!E5")</f>
        <v>#VALUE!</v>
      </c>
      <c r="E150" s="216"/>
      <c r="F150" s="86" t="str">
        <f>F147</f>
        <v>BlueBackpack_UVGgs_0200</v>
      </c>
      <c r="G150" s="93" t="s">
        <v>54</v>
      </c>
      <c r="H150" s="217" t="e">
        <f ca="1">0.000001*INDIRECT($B150&amp;"!AC5")</f>
        <v>#VALUE!</v>
      </c>
      <c r="J150" s="218" t="e">
        <f ca="1">H150/D150-1</f>
        <v>#VALUE!</v>
      </c>
      <c r="L150" s="65" t="str">
        <f ca="1">INDIRECT($B150&amp;"!"&amp;L$3&amp;"5")</f>
        <v/>
      </c>
      <c r="M150" s="66" t="str">
        <f ca="1">INDIRECT($B150&amp;"!"&amp;M$3&amp;"5")</f>
        <v/>
      </c>
      <c r="N150" s="67" t="e">
        <f ca="1">M150-L150</f>
        <v>#VALUE!</v>
      </c>
      <c r="O150" s="216"/>
      <c r="P150" s="218" t="e">
        <f ca="1">bdRateExtend(D150:D154,L150:L154,H150:H154,M150:M154)</f>
        <v>#VALUE!</v>
      </c>
    </row>
    <row r="151" spans="2:28" ht="16.5" customHeight="1" x14ac:dyDescent="0.25">
      <c r="B151" s="86" t="str">
        <f>B150</f>
        <v>BlueBackpack_UVGgs_0200</v>
      </c>
      <c r="C151" s="93" t="s">
        <v>55</v>
      </c>
      <c r="D151" s="217" t="e">
        <f ca="1">0.000001*INDIRECT($B151&amp;"!E6")</f>
        <v>#VALUE!</v>
      </c>
      <c r="E151" s="216"/>
      <c r="F151" s="86" t="str">
        <f>F150</f>
        <v>BlueBackpack_UVGgs_0200</v>
      </c>
      <c r="G151" s="93" t="s">
        <v>55</v>
      </c>
      <c r="H151" s="217" t="e">
        <f ca="1">0.000001*INDIRECT($B151&amp;"!AC6")</f>
        <v>#VALUE!</v>
      </c>
      <c r="J151" s="218" t="e">
        <f ca="1">H151/D151-1</f>
        <v>#VALUE!</v>
      </c>
      <c r="L151" s="65" t="str">
        <f ca="1">INDIRECT($B151&amp;"!"&amp;L$3&amp;"6")</f>
        <v/>
      </c>
      <c r="M151" s="66" t="str">
        <f ca="1">INDIRECT($B151&amp;"!"&amp;M$3&amp;"6")</f>
        <v/>
      </c>
      <c r="N151" s="67" t="e">
        <f ca="1">M151-L151</f>
        <v>#VALUE!</v>
      </c>
      <c r="O151" s="216"/>
      <c r="P151" s="3"/>
    </row>
    <row r="152" spans="2:28" ht="16.5" customHeight="1" x14ac:dyDescent="0.25">
      <c r="B152" s="86" t="str">
        <f>B151</f>
        <v>BlueBackpack_UVGgs_0200</v>
      </c>
      <c r="C152" s="93" t="s">
        <v>56</v>
      </c>
      <c r="D152" s="217" t="e">
        <f ca="1">0.000001*INDIRECT($B152&amp;"!E7")</f>
        <v>#VALUE!</v>
      </c>
      <c r="E152" s="216"/>
      <c r="F152" s="86" t="str">
        <f>F151</f>
        <v>BlueBackpack_UVGgs_0200</v>
      </c>
      <c r="G152" s="93" t="s">
        <v>56</v>
      </c>
      <c r="H152" s="217" t="e">
        <f ca="1">0.000001*INDIRECT($B152&amp;"!AC7")</f>
        <v>#VALUE!</v>
      </c>
      <c r="J152" s="218" t="e">
        <f ca="1">H152/D152-1</f>
        <v>#VALUE!</v>
      </c>
      <c r="L152" s="65" t="str">
        <f ca="1">INDIRECT($B152&amp;"!"&amp;L$3&amp;"7")</f>
        <v/>
      </c>
      <c r="M152" s="66" t="str">
        <f ca="1">INDIRECT($B152&amp;"!"&amp;M$3&amp;"7")</f>
        <v/>
      </c>
      <c r="N152" s="67" t="e">
        <f ca="1">M152-L152</f>
        <v>#VALUE!</v>
      </c>
      <c r="O152" s="216"/>
      <c r="P152" s="168"/>
    </row>
    <row r="153" spans="2:28" x14ac:dyDescent="0.25">
      <c r="B153" s="86" t="str">
        <f>B152</f>
        <v>BlueBackpack_UVGgs_0200</v>
      </c>
      <c r="C153" s="93" t="s">
        <v>57</v>
      </c>
      <c r="D153" s="217" t="e">
        <f ca="1">0.000001*INDIRECT($B153&amp;"!E8")</f>
        <v>#VALUE!</v>
      </c>
      <c r="E153" s="216"/>
      <c r="F153" s="86" t="str">
        <f>F152</f>
        <v>BlueBackpack_UVGgs_0200</v>
      </c>
      <c r="G153" s="93" t="s">
        <v>57</v>
      </c>
      <c r="H153" s="217" t="e">
        <f ca="1">0.000001*INDIRECT($B153&amp;"!AC8")</f>
        <v>#VALUE!</v>
      </c>
      <c r="J153" s="218" t="e">
        <f ca="1">H153/D153-1</f>
        <v>#VALUE!</v>
      </c>
      <c r="L153" s="65" t="str">
        <f ca="1">INDIRECT($B153&amp;"!"&amp;L$3&amp;"8")</f>
        <v/>
      </c>
      <c r="M153" s="66" t="str">
        <f ca="1">INDIRECT($B153&amp;"!"&amp;M$3&amp;"8")</f>
        <v/>
      </c>
      <c r="N153" s="67" t="e">
        <f ca="1">M153-L153</f>
        <v>#VALUE!</v>
      </c>
      <c r="O153" s="216"/>
      <c r="P153" s="225"/>
    </row>
    <row r="154" spans="2:28" ht="18" customHeight="1" thickBot="1" x14ac:dyDescent="0.3">
      <c r="B154" s="86" t="str">
        <f>B153</f>
        <v>BlueBackpack_UVGgs_0200</v>
      </c>
      <c r="C154" s="93" t="s">
        <v>58</v>
      </c>
      <c r="D154" s="217" t="e">
        <f ca="1">0.000001*INDIRECT($B154&amp;"!E9")</f>
        <v>#VALUE!</v>
      </c>
      <c r="E154" s="216"/>
      <c r="F154" s="86" t="str">
        <f>F153</f>
        <v>BlueBackpack_UVGgs_0200</v>
      </c>
      <c r="G154" s="93" t="s">
        <v>58</v>
      </c>
      <c r="H154" s="217" t="e">
        <f ca="1">0.000001*INDIRECT($B154&amp;"!AC9")</f>
        <v>#VALUE!</v>
      </c>
      <c r="J154" s="218" t="e">
        <f ca="1">H154/D154-1</f>
        <v>#VALUE!</v>
      </c>
      <c r="L154" s="65" t="str">
        <f ca="1">INDIRECT($B154&amp;"!"&amp;L$3&amp;"9")</f>
        <v/>
      </c>
      <c r="M154" s="66" t="str">
        <f ca="1">INDIRECT($B154&amp;"!"&amp;M$3&amp;"9")</f>
        <v/>
      </c>
      <c r="N154" s="67" t="e">
        <f ca="1">M154-L154</f>
        <v>#VALUE!</v>
      </c>
      <c r="O154" s="216"/>
      <c r="P154" s="221"/>
    </row>
    <row r="155" spans="2:28" x14ac:dyDescent="0.25">
      <c r="B155" s="80"/>
      <c r="C155" s="81"/>
      <c r="D155" s="222"/>
      <c r="F155" s="80"/>
      <c r="G155" s="81"/>
      <c r="H155" s="222"/>
      <c r="J155" s="69" t="e">
        <f ca="1">MIN(D150:D154,H150:H154)</f>
        <v>#VALUE!</v>
      </c>
      <c r="L155" s="70"/>
      <c r="M155" s="71"/>
      <c r="N155" s="72"/>
      <c r="O155" s="216"/>
      <c r="P155" s="205"/>
    </row>
    <row r="156" spans="2:28" ht="18" customHeight="1" thickBot="1" x14ac:dyDescent="0.3">
      <c r="B156" s="62"/>
      <c r="C156" s="63"/>
      <c r="D156" s="223"/>
      <c r="E156" s="216"/>
      <c r="F156" s="62"/>
      <c r="G156" s="63"/>
      <c r="H156" s="223"/>
      <c r="J156" s="73" t="e">
        <f ca="1">MAX(D150:D154,H150:H154)</f>
        <v>#VALUE!</v>
      </c>
      <c r="L156" s="74">
        <f>L155</f>
        <v>0</v>
      </c>
      <c r="M156" s="75">
        <f>M155</f>
        <v>0</v>
      </c>
      <c r="N156" s="68"/>
      <c r="O156" s="216"/>
      <c r="P156" s="5"/>
      <c r="AB156" s="220"/>
    </row>
    <row r="157" spans="2:28" ht="18" customHeight="1" thickBot="1" x14ac:dyDescent="0.3"/>
    <row r="158" spans="2:28" x14ac:dyDescent="0.25">
      <c r="B158" s="265" t="s">
        <v>35</v>
      </c>
      <c r="C158" s="260"/>
      <c r="D158" s="261"/>
      <c r="E158" s="2"/>
      <c r="F158" s="265" t="str">
        <f>B158</f>
        <v>FlowerDance_UVGgs_0000</v>
      </c>
      <c r="G158" s="260"/>
      <c r="H158" s="261"/>
      <c r="J158" s="205"/>
      <c r="L158" s="259" t="str">
        <f>F158</f>
        <v>FlowerDance_UVGgs_0000</v>
      </c>
      <c r="M158" s="260"/>
      <c r="N158" s="261"/>
      <c r="O158" s="149"/>
      <c r="P158" s="205"/>
    </row>
    <row r="159" spans="2:28" ht="16.5" customHeight="1" x14ac:dyDescent="0.25">
      <c r="B159" s="262" t="s">
        <v>47</v>
      </c>
      <c r="C159" s="257"/>
      <c r="D159" s="61" t="s">
        <v>48</v>
      </c>
      <c r="E159" s="216"/>
      <c r="F159" s="262" t="s">
        <v>47</v>
      </c>
      <c r="G159" s="257"/>
      <c r="H159" s="61" t="s">
        <v>48</v>
      </c>
      <c r="J159" s="203" t="s">
        <v>49</v>
      </c>
      <c r="L159" s="256" t="s">
        <v>64</v>
      </c>
      <c r="M159" s="257"/>
      <c r="N159" s="258"/>
      <c r="O159" s="59"/>
      <c r="P159" s="3"/>
      <c r="AB159" s="220"/>
    </row>
    <row r="160" spans="2:28" x14ac:dyDescent="0.25">
      <c r="B160" s="145" t="s">
        <v>0</v>
      </c>
      <c r="C160" s="93" t="s">
        <v>51</v>
      </c>
      <c r="D160" s="60" t="s">
        <v>52</v>
      </c>
      <c r="E160" s="216"/>
      <c r="F160" s="145" t="s">
        <v>0</v>
      </c>
      <c r="G160" s="93" t="s">
        <v>51</v>
      </c>
      <c r="H160" s="60" t="s">
        <v>52</v>
      </c>
      <c r="J160" s="64"/>
      <c r="L160" s="146" t="str">
        <f>CONCATENATE(B$2," ",L158)</f>
        <v>MPEG151-octree FlowerDance_UVGgs_0000</v>
      </c>
      <c r="M160" s="147" t="str">
        <f>CONCATENATE(F$2," ",L158)</f>
        <v>MPEG151-修改上下文 FlowerDance_UVGgs_0000</v>
      </c>
      <c r="N160" s="148" t="s">
        <v>53</v>
      </c>
      <c r="O160" s="2"/>
      <c r="P160" s="3" t="s">
        <v>44</v>
      </c>
    </row>
    <row r="161" spans="2:28" ht="16.5" customHeight="1" x14ac:dyDescent="0.25">
      <c r="B161" s="86" t="str">
        <f>B158</f>
        <v>FlowerDance_UVGgs_0000</v>
      </c>
      <c r="C161" s="93" t="s">
        <v>54</v>
      </c>
      <c r="D161" s="217" t="e">
        <f ca="1">0.000001*INDIRECT($B161&amp;"!E5")</f>
        <v>#VALUE!</v>
      </c>
      <c r="E161" s="216"/>
      <c r="F161" s="86" t="str">
        <f>F158</f>
        <v>FlowerDance_UVGgs_0000</v>
      </c>
      <c r="G161" s="93" t="s">
        <v>54</v>
      </c>
      <c r="H161" s="217" t="e">
        <f ca="1">0.000001*INDIRECT($B161&amp;"!AC5")</f>
        <v>#VALUE!</v>
      </c>
      <c r="J161" s="218" t="e">
        <f ca="1">H161/D161-1</f>
        <v>#VALUE!</v>
      </c>
      <c r="L161" s="65" t="str">
        <f ca="1">INDIRECT($B161&amp;"!"&amp;L$3&amp;"5")</f>
        <v/>
      </c>
      <c r="M161" s="66" t="str">
        <f ca="1">INDIRECT($B161&amp;"!"&amp;M$3&amp;"5")</f>
        <v/>
      </c>
      <c r="N161" s="67" t="e">
        <f ca="1">M161-L161</f>
        <v>#VALUE!</v>
      </c>
      <c r="O161" s="216"/>
      <c r="P161" s="218" t="e">
        <f ca="1">bdRateExtend(D161:D165,L161:L165,H161:H165,M161:M165)</f>
        <v>#VALUE!</v>
      </c>
    </row>
    <row r="162" spans="2:28" ht="16.5" customHeight="1" x14ac:dyDescent="0.25">
      <c r="B162" s="86" t="str">
        <f>B161</f>
        <v>FlowerDance_UVGgs_0000</v>
      </c>
      <c r="C162" s="93" t="s">
        <v>55</v>
      </c>
      <c r="D162" s="217" t="e">
        <f ca="1">0.000001*INDIRECT($B162&amp;"!E6")</f>
        <v>#VALUE!</v>
      </c>
      <c r="E162" s="216"/>
      <c r="F162" s="86" t="str">
        <f>F161</f>
        <v>FlowerDance_UVGgs_0000</v>
      </c>
      <c r="G162" s="93" t="s">
        <v>55</v>
      </c>
      <c r="H162" s="217" t="e">
        <f ca="1">0.000001*INDIRECT($B162&amp;"!AC6")</f>
        <v>#VALUE!</v>
      </c>
      <c r="J162" s="218" t="e">
        <f ca="1">H162/D162-1</f>
        <v>#VALUE!</v>
      </c>
      <c r="L162" s="65" t="str">
        <f ca="1">INDIRECT($B162&amp;"!"&amp;L$3&amp;"6")</f>
        <v/>
      </c>
      <c r="M162" s="66" t="str">
        <f ca="1">INDIRECT($B162&amp;"!"&amp;M$3&amp;"6")</f>
        <v/>
      </c>
      <c r="N162" s="67" t="e">
        <f ca="1">M162-L162</f>
        <v>#VALUE!</v>
      </c>
      <c r="O162" s="216"/>
      <c r="P162" s="3"/>
    </row>
    <row r="163" spans="2:28" x14ac:dyDescent="0.25">
      <c r="B163" s="86" t="str">
        <f>B162</f>
        <v>FlowerDance_UVGgs_0000</v>
      </c>
      <c r="C163" s="93" t="s">
        <v>56</v>
      </c>
      <c r="D163" s="217" t="e">
        <f ca="1">0.000001*INDIRECT($B163&amp;"!E7")</f>
        <v>#VALUE!</v>
      </c>
      <c r="E163" s="216"/>
      <c r="F163" s="86" t="str">
        <f>F162</f>
        <v>FlowerDance_UVGgs_0000</v>
      </c>
      <c r="G163" s="93" t="s">
        <v>56</v>
      </c>
      <c r="H163" s="217" t="e">
        <f ca="1">0.000001*INDIRECT($B163&amp;"!AC7")</f>
        <v>#VALUE!</v>
      </c>
      <c r="J163" s="218" t="e">
        <f ca="1">H163/D163-1</f>
        <v>#VALUE!</v>
      </c>
      <c r="L163" s="65" t="str">
        <f ca="1">INDIRECT($B163&amp;"!"&amp;L$3&amp;"7")</f>
        <v/>
      </c>
      <c r="M163" s="66" t="str">
        <f ca="1">INDIRECT($B163&amp;"!"&amp;M$3&amp;"7")</f>
        <v/>
      </c>
      <c r="N163" s="67" t="e">
        <f ca="1">M163-L163</f>
        <v>#VALUE!</v>
      </c>
      <c r="O163" s="216"/>
      <c r="P163" s="168"/>
    </row>
    <row r="164" spans="2:28" x14ac:dyDescent="0.25">
      <c r="B164" s="86" t="str">
        <f>B163</f>
        <v>FlowerDance_UVGgs_0000</v>
      </c>
      <c r="C164" s="93" t="s">
        <v>57</v>
      </c>
      <c r="D164" s="217" t="e">
        <f ca="1">0.000001*INDIRECT($B164&amp;"!E8")</f>
        <v>#VALUE!</v>
      </c>
      <c r="E164" s="216"/>
      <c r="F164" s="86" t="str">
        <f>F163</f>
        <v>FlowerDance_UVGgs_0000</v>
      </c>
      <c r="G164" s="93" t="s">
        <v>57</v>
      </c>
      <c r="H164" s="217" t="e">
        <f ca="1">0.000001*INDIRECT($B164&amp;"!AC8")</f>
        <v>#VALUE!</v>
      </c>
      <c r="J164" s="218" t="e">
        <f ca="1">H164/D164-1</f>
        <v>#VALUE!</v>
      </c>
      <c r="L164" s="65" t="str">
        <f ca="1">INDIRECT($B164&amp;"!"&amp;L$3&amp;"8")</f>
        <v/>
      </c>
      <c r="M164" s="66" t="str">
        <f ca="1">INDIRECT($B164&amp;"!"&amp;M$3&amp;"8")</f>
        <v/>
      </c>
      <c r="N164" s="67" t="e">
        <f ca="1">M164-L164</f>
        <v>#VALUE!</v>
      </c>
      <c r="O164" s="216"/>
      <c r="P164" s="225"/>
    </row>
    <row r="165" spans="2:28" ht="18" customHeight="1" thickBot="1" x14ac:dyDescent="0.3">
      <c r="B165" s="86" t="str">
        <f>B164</f>
        <v>FlowerDance_UVGgs_0000</v>
      </c>
      <c r="C165" s="93" t="s">
        <v>58</v>
      </c>
      <c r="D165" s="217" t="e">
        <f ca="1">0.000001*INDIRECT($B165&amp;"!E9")</f>
        <v>#VALUE!</v>
      </c>
      <c r="E165" s="216"/>
      <c r="F165" s="86" t="str">
        <f>F164</f>
        <v>FlowerDance_UVGgs_0000</v>
      </c>
      <c r="G165" s="93" t="s">
        <v>58</v>
      </c>
      <c r="H165" s="217" t="e">
        <f ca="1">0.000001*INDIRECT($B165&amp;"!AC9")</f>
        <v>#VALUE!</v>
      </c>
      <c r="J165" s="218" t="e">
        <f ca="1">H165/D165-1</f>
        <v>#VALUE!</v>
      </c>
      <c r="L165" s="65" t="str">
        <f ca="1">INDIRECT($B165&amp;"!"&amp;L$3&amp;"9")</f>
        <v/>
      </c>
      <c r="M165" s="66" t="str">
        <f ca="1">INDIRECT($B165&amp;"!"&amp;M$3&amp;"9")</f>
        <v/>
      </c>
      <c r="N165" s="67" t="e">
        <f ca="1">M165-L165</f>
        <v>#VALUE!</v>
      </c>
      <c r="O165" s="216"/>
      <c r="P165" s="221"/>
    </row>
    <row r="166" spans="2:28" x14ac:dyDescent="0.25">
      <c r="B166" s="80"/>
      <c r="C166" s="81"/>
      <c r="D166" s="222"/>
      <c r="F166" s="80"/>
      <c r="G166" s="81"/>
      <c r="H166" s="222"/>
      <c r="J166" s="69" t="e">
        <f ca="1">MIN(D161:D165,H161:H165)</f>
        <v>#VALUE!</v>
      </c>
      <c r="L166" s="70"/>
      <c r="M166" s="71"/>
      <c r="N166" s="72"/>
      <c r="O166" s="216"/>
      <c r="P166" s="205"/>
      <c r="AB166" s="220"/>
    </row>
    <row r="167" spans="2:28" ht="18" customHeight="1" thickBot="1" x14ac:dyDescent="0.3">
      <c r="B167" s="62"/>
      <c r="C167" s="63"/>
      <c r="D167" s="223"/>
      <c r="E167" s="216"/>
      <c r="F167" s="62"/>
      <c r="G167" s="63"/>
      <c r="H167" s="223"/>
      <c r="J167" s="73" t="e">
        <f ca="1">MAX(D161:D165,H161:H165)</f>
        <v>#VALUE!</v>
      </c>
      <c r="L167" s="74">
        <f>L166</f>
        <v>0</v>
      </c>
      <c r="M167" s="75">
        <f>M166</f>
        <v>0</v>
      </c>
      <c r="N167" s="68"/>
      <c r="O167" s="216"/>
      <c r="P167" s="5"/>
    </row>
    <row r="168" spans="2:28" ht="18" customHeight="1" thickBot="1" x14ac:dyDescent="0.3"/>
    <row r="169" spans="2:28" ht="16.5" customHeight="1" x14ac:dyDescent="0.25">
      <c r="B169" s="265" t="s">
        <v>36</v>
      </c>
      <c r="C169" s="260"/>
      <c r="D169" s="261"/>
      <c r="E169" s="2"/>
      <c r="F169" s="265" t="str">
        <f>B169</f>
        <v>FlowerDance_UVGgs_0200</v>
      </c>
      <c r="G169" s="260"/>
      <c r="H169" s="261"/>
      <c r="J169" s="205"/>
      <c r="L169" s="259" t="str">
        <f>F169</f>
        <v>FlowerDance_UVGgs_0200</v>
      </c>
      <c r="M169" s="260"/>
      <c r="N169" s="261"/>
      <c r="O169" s="149"/>
      <c r="P169" s="205"/>
      <c r="AB169" s="220"/>
    </row>
    <row r="170" spans="2:28" x14ac:dyDescent="0.25">
      <c r="B170" s="262" t="s">
        <v>47</v>
      </c>
      <c r="C170" s="257"/>
      <c r="D170" s="61" t="s">
        <v>48</v>
      </c>
      <c r="E170" s="216"/>
      <c r="F170" s="262" t="s">
        <v>47</v>
      </c>
      <c r="G170" s="257"/>
      <c r="H170" s="61" t="s">
        <v>48</v>
      </c>
      <c r="J170" s="203" t="s">
        <v>49</v>
      </c>
      <c r="L170" s="256" t="s">
        <v>64</v>
      </c>
      <c r="M170" s="257"/>
      <c r="N170" s="258"/>
      <c r="O170" s="59"/>
      <c r="P170" s="3"/>
    </row>
    <row r="171" spans="2:28" ht="16.5" customHeight="1" x14ac:dyDescent="0.25">
      <c r="B171" s="145" t="s">
        <v>0</v>
      </c>
      <c r="C171" s="93" t="s">
        <v>51</v>
      </c>
      <c r="D171" s="60" t="s">
        <v>52</v>
      </c>
      <c r="E171" s="216"/>
      <c r="F171" s="145" t="s">
        <v>0</v>
      </c>
      <c r="G171" s="93" t="s">
        <v>51</v>
      </c>
      <c r="H171" s="60" t="s">
        <v>52</v>
      </c>
      <c r="J171" s="64"/>
      <c r="L171" s="146" t="str">
        <f>CONCATENATE(B$2," ",L169)</f>
        <v>MPEG151-octree FlowerDance_UVGgs_0200</v>
      </c>
      <c r="M171" s="147" t="str">
        <f>CONCATENATE(F$2," ",L169)</f>
        <v>MPEG151-修改上下文 FlowerDance_UVGgs_0200</v>
      </c>
      <c r="N171" s="148" t="s">
        <v>53</v>
      </c>
      <c r="O171" s="2"/>
      <c r="P171" s="3" t="s">
        <v>44</v>
      </c>
    </row>
    <row r="172" spans="2:28" ht="16.5" customHeight="1" x14ac:dyDescent="0.25">
      <c r="B172" s="86" t="str">
        <f>B169</f>
        <v>FlowerDance_UVGgs_0200</v>
      </c>
      <c r="C172" s="93" t="s">
        <v>54</v>
      </c>
      <c r="D172" s="217" t="e">
        <f ca="1">0.000001*INDIRECT($B172&amp;"!E5")</f>
        <v>#VALUE!</v>
      </c>
      <c r="E172" s="216"/>
      <c r="F172" s="86" t="str">
        <f>F169</f>
        <v>FlowerDance_UVGgs_0200</v>
      </c>
      <c r="G172" s="93" t="s">
        <v>54</v>
      </c>
      <c r="H172" s="217" t="e">
        <f ca="1">0.000001*INDIRECT($B172&amp;"!AC5")</f>
        <v>#VALUE!</v>
      </c>
      <c r="J172" s="218" t="e">
        <f ca="1">H172/D172-1</f>
        <v>#VALUE!</v>
      </c>
      <c r="L172" s="65" t="str">
        <f ca="1">INDIRECT($B172&amp;"!"&amp;L$3&amp;"5")</f>
        <v/>
      </c>
      <c r="M172" s="66" t="str">
        <f ca="1">INDIRECT($B172&amp;"!"&amp;M$3&amp;"5")</f>
        <v/>
      </c>
      <c r="N172" s="67" t="e">
        <f ca="1">M172-L172</f>
        <v>#VALUE!</v>
      </c>
      <c r="O172" s="216"/>
      <c r="P172" s="218" t="e">
        <f ca="1">bdRateExtend(D172:D176,L172:L176,H172:H176,M172:M176)</f>
        <v>#VALUE!</v>
      </c>
    </row>
    <row r="173" spans="2:28" x14ac:dyDescent="0.25">
      <c r="B173" s="86" t="str">
        <f>B172</f>
        <v>FlowerDance_UVGgs_0200</v>
      </c>
      <c r="C173" s="93" t="s">
        <v>55</v>
      </c>
      <c r="D173" s="217" t="e">
        <f ca="1">0.000001*INDIRECT($B173&amp;"!E6")</f>
        <v>#VALUE!</v>
      </c>
      <c r="E173" s="216"/>
      <c r="F173" s="86" t="str">
        <f>F172</f>
        <v>FlowerDance_UVGgs_0200</v>
      </c>
      <c r="G173" s="93" t="s">
        <v>55</v>
      </c>
      <c r="H173" s="217" t="e">
        <f ca="1">0.000001*INDIRECT($B173&amp;"!AC6")</f>
        <v>#VALUE!</v>
      </c>
      <c r="J173" s="218" t="e">
        <f ca="1">H173/D173-1</f>
        <v>#VALUE!</v>
      </c>
      <c r="L173" s="65" t="str">
        <f ca="1">INDIRECT($B173&amp;"!"&amp;L$3&amp;"6")</f>
        <v/>
      </c>
      <c r="M173" s="66" t="str">
        <f ca="1">INDIRECT($B173&amp;"!"&amp;M$3&amp;"6")</f>
        <v/>
      </c>
      <c r="N173" s="67" t="e">
        <f ca="1">M173-L173</f>
        <v>#VALUE!</v>
      </c>
      <c r="O173" s="216"/>
      <c r="P173" s="3"/>
    </row>
    <row r="174" spans="2:28" x14ac:dyDescent="0.25">
      <c r="B174" s="86" t="str">
        <f>B173</f>
        <v>FlowerDance_UVGgs_0200</v>
      </c>
      <c r="C174" s="93" t="s">
        <v>56</v>
      </c>
      <c r="D174" s="217" t="e">
        <f ca="1">0.000001*INDIRECT($B174&amp;"!E7")</f>
        <v>#VALUE!</v>
      </c>
      <c r="E174" s="216"/>
      <c r="F174" s="86" t="str">
        <f>F173</f>
        <v>FlowerDance_UVGgs_0200</v>
      </c>
      <c r="G174" s="93" t="s">
        <v>56</v>
      </c>
      <c r="H174" s="217" t="e">
        <f ca="1">0.000001*INDIRECT($B174&amp;"!AC7")</f>
        <v>#VALUE!</v>
      </c>
      <c r="J174" s="218" t="e">
        <f ca="1">H174/D174-1</f>
        <v>#VALUE!</v>
      </c>
      <c r="L174" s="65" t="str">
        <f ca="1">INDIRECT($B174&amp;"!"&amp;L$3&amp;"7")</f>
        <v/>
      </c>
      <c r="M174" s="66" t="str">
        <f ca="1">INDIRECT($B174&amp;"!"&amp;M$3&amp;"7")</f>
        <v/>
      </c>
      <c r="N174" s="67" t="e">
        <f ca="1">M174-L174</f>
        <v>#VALUE!</v>
      </c>
      <c r="O174" s="216"/>
      <c r="P174" s="168"/>
    </row>
    <row r="175" spans="2:28" x14ac:dyDescent="0.25">
      <c r="B175" s="86" t="str">
        <f>B174</f>
        <v>FlowerDance_UVGgs_0200</v>
      </c>
      <c r="C175" s="93" t="s">
        <v>57</v>
      </c>
      <c r="D175" s="217" t="e">
        <f ca="1">0.000001*INDIRECT($B175&amp;"!E8")</f>
        <v>#VALUE!</v>
      </c>
      <c r="E175" s="216"/>
      <c r="F175" s="86" t="str">
        <f>F174</f>
        <v>FlowerDance_UVGgs_0200</v>
      </c>
      <c r="G175" s="93" t="s">
        <v>57</v>
      </c>
      <c r="H175" s="217" t="e">
        <f ca="1">0.000001*INDIRECT($B175&amp;"!AC8")</f>
        <v>#VALUE!</v>
      </c>
      <c r="J175" s="218" t="e">
        <f ca="1">H175/D175-1</f>
        <v>#VALUE!</v>
      </c>
      <c r="L175" s="65" t="str">
        <f ca="1">INDIRECT($B175&amp;"!"&amp;L$3&amp;"8")</f>
        <v/>
      </c>
      <c r="M175" s="66" t="str">
        <f ca="1">INDIRECT($B175&amp;"!"&amp;M$3&amp;"8")</f>
        <v/>
      </c>
      <c r="N175" s="67" t="e">
        <f ca="1">M175-L175</f>
        <v>#VALUE!</v>
      </c>
      <c r="O175" s="216"/>
      <c r="P175" s="225"/>
    </row>
    <row r="176" spans="2:28" ht="18" customHeight="1" thickBot="1" x14ac:dyDescent="0.3">
      <c r="B176" s="86" t="str">
        <f>B175</f>
        <v>FlowerDance_UVGgs_0200</v>
      </c>
      <c r="C176" s="93" t="s">
        <v>58</v>
      </c>
      <c r="D176" s="217" t="e">
        <f ca="1">0.000001*INDIRECT($B176&amp;"!E9")</f>
        <v>#VALUE!</v>
      </c>
      <c r="E176" s="216"/>
      <c r="F176" s="86" t="str">
        <f>F175</f>
        <v>FlowerDance_UVGgs_0200</v>
      </c>
      <c r="G176" s="93" t="s">
        <v>58</v>
      </c>
      <c r="H176" s="217" t="e">
        <f ca="1">0.000001*INDIRECT($B176&amp;"!AC9")</f>
        <v>#VALUE!</v>
      </c>
      <c r="J176" s="218" t="e">
        <f ca="1">H176/D176-1</f>
        <v>#VALUE!</v>
      </c>
      <c r="L176" s="65" t="str">
        <f ca="1">INDIRECT($B176&amp;"!"&amp;L$3&amp;"9")</f>
        <v/>
      </c>
      <c r="M176" s="66" t="str">
        <f ca="1">INDIRECT($B176&amp;"!"&amp;M$3&amp;"9")</f>
        <v/>
      </c>
      <c r="N176" s="67" t="e">
        <f ca="1">M176-L176</f>
        <v>#VALUE!</v>
      </c>
      <c r="O176" s="216"/>
      <c r="P176" s="221"/>
      <c r="AB176" s="220"/>
    </row>
    <row r="177" spans="2:28" x14ac:dyDescent="0.25">
      <c r="B177" s="80"/>
      <c r="C177" s="81"/>
      <c r="D177" s="222"/>
      <c r="F177" s="80"/>
      <c r="G177" s="81"/>
      <c r="H177" s="222"/>
      <c r="J177" s="69" t="e">
        <f ca="1">MIN(D172:D176,H172:H176)</f>
        <v>#VALUE!</v>
      </c>
      <c r="L177" s="70"/>
      <c r="M177" s="71"/>
      <c r="N177" s="72"/>
      <c r="O177" s="216"/>
      <c r="P177" s="205"/>
    </row>
    <row r="178" spans="2:28" ht="18" customHeight="1" thickBot="1" x14ac:dyDescent="0.3">
      <c r="B178" s="62"/>
      <c r="C178" s="63"/>
      <c r="D178" s="223"/>
      <c r="E178" s="216"/>
      <c r="F178" s="62"/>
      <c r="G178" s="63"/>
      <c r="H178" s="223"/>
      <c r="J178" s="73" t="e">
        <f ca="1">MAX(D172:D176,H172:H176)</f>
        <v>#VALUE!</v>
      </c>
      <c r="L178" s="74">
        <f>L177</f>
        <v>0</v>
      </c>
      <c r="M178" s="75">
        <f>M177</f>
        <v>0</v>
      </c>
      <c r="N178" s="68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37</v>
      </c>
      <c r="C180" s="260"/>
      <c r="D180" s="261"/>
      <c r="E180" s="2"/>
      <c r="F180" s="265" t="str">
        <f>B180</f>
        <v>Gymnast_UVGgs_0100</v>
      </c>
      <c r="G180" s="260"/>
      <c r="H180" s="261"/>
      <c r="J180" s="205"/>
      <c r="L180" s="259" t="str">
        <f>F180</f>
        <v>Gymnast_UVGgs_0100</v>
      </c>
      <c r="M180" s="260"/>
      <c r="N180" s="261"/>
      <c r="O180" s="149"/>
      <c r="P180" s="205"/>
    </row>
    <row r="181" spans="2:28" ht="16.5" customHeight="1" x14ac:dyDescent="0.25">
      <c r="B181" s="262" t="s">
        <v>47</v>
      </c>
      <c r="C181" s="257"/>
      <c r="D181" s="61" t="s">
        <v>48</v>
      </c>
      <c r="E181" s="216"/>
      <c r="F181" s="262" t="s">
        <v>47</v>
      </c>
      <c r="G181" s="257"/>
      <c r="H181" s="61" t="s">
        <v>48</v>
      </c>
      <c r="J181" s="203" t="s">
        <v>49</v>
      </c>
      <c r="L181" s="256" t="s">
        <v>64</v>
      </c>
      <c r="M181" s="257"/>
      <c r="N181" s="258"/>
      <c r="O181" s="59"/>
      <c r="P181" s="3"/>
    </row>
    <row r="182" spans="2:28" ht="16.5" customHeight="1" x14ac:dyDescent="0.25">
      <c r="B182" s="145" t="s">
        <v>0</v>
      </c>
      <c r="C182" s="93" t="s">
        <v>51</v>
      </c>
      <c r="D182" s="60" t="s">
        <v>52</v>
      </c>
      <c r="E182" s="216"/>
      <c r="F182" s="145" t="s">
        <v>0</v>
      </c>
      <c r="G182" s="93" t="s">
        <v>51</v>
      </c>
      <c r="H182" s="60" t="s">
        <v>52</v>
      </c>
      <c r="J182" s="64"/>
      <c r="L182" s="146" t="str">
        <f>CONCATENATE(B$2," ",L180)</f>
        <v>MPEG151-octree Gymnast_UVGgs_0100</v>
      </c>
      <c r="M182" s="147" t="str">
        <f>CONCATENATE(F$2," ",L180)</f>
        <v>MPEG151-修改上下文 Gymnast_UVGgs_0100</v>
      </c>
      <c r="N182" s="148" t="s">
        <v>53</v>
      </c>
      <c r="O182" s="2"/>
      <c r="P182" s="3" t="s">
        <v>44</v>
      </c>
    </row>
    <row r="183" spans="2:28" x14ac:dyDescent="0.25">
      <c r="B183" s="86" t="str">
        <f>B180</f>
        <v>Gymnast_UVGgs_0100</v>
      </c>
      <c r="C183" s="93" t="s">
        <v>54</v>
      </c>
      <c r="D183" s="217" t="e">
        <f ca="1">0.000001*INDIRECT($B183&amp;"!E5")</f>
        <v>#VALUE!</v>
      </c>
      <c r="E183" s="216"/>
      <c r="F183" s="86" t="str">
        <f>F180</f>
        <v>Gymnast_UVGgs_0100</v>
      </c>
      <c r="G183" s="93" t="s">
        <v>54</v>
      </c>
      <c r="H183" s="217" t="e">
        <f ca="1">0.000001*INDIRECT($B183&amp;"!AC5")</f>
        <v>#VALUE!</v>
      </c>
      <c r="J183" s="218" t="e">
        <f ca="1">H183/D183-1</f>
        <v>#VALUE!</v>
      </c>
      <c r="L183" s="65" t="str">
        <f ca="1">INDIRECT($B183&amp;"!"&amp;L$3&amp;"5")</f>
        <v/>
      </c>
      <c r="M183" s="66" t="str">
        <f ca="1">INDIRECT($B183&amp;"!"&amp;M$3&amp;"5")</f>
        <v/>
      </c>
      <c r="N183" s="67" t="e">
        <f ca="1">M183-L183</f>
        <v>#VALUE!</v>
      </c>
      <c r="O183" s="216"/>
      <c r="P183" s="218" t="e">
        <f ca="1">bdRateExtend(D183:D187,L183:L187,H183:H187,M183:M187)</f>
        <v>#VALUE!</v>
      </c>
    </row>
    <row r="184" spans="2:28" x14ac:dyDescent="0.25">
      <c r="B184" s="86" t="str">
        <f>B183</f>
        <v>Gymnast_UVGgs_0100</v>
      </c>
      <c r="C184" s="93" t="s">
        <v>55</v>
      </c>
      <c r="D184" s="217" t="e">
        <f ca="1">0.000001*INDIRECT($B184&amp;"!E6")</f>
        <v>#VALUE!</v>
      </c>
      <c r="E184" s="216"/>
      <c r="F184" s="86" t="str">
        <f>F183</f>
        <v>Gymnast_UVGgs_0100</v>
      </c>
      <c r="G184" s="93" t="s">
        <v>55</v>
      </c>
      <c r="H184" s="217" t="e">
        <f ca="1">0.000001*INDIRECT($B184&amp;"!AC6")</f>
        <v>#VALUE!</v>
      </c>
      <c r="J184" s="218" t="e">
        <f ca="1">H184/D184-1</f>
        <v>#VALUE!</v>
      </c>
      <c r="L184" s="65" t="str">
        <f ca="1">INDIRECT($B184&amp;"!"&amp;L$3&amp;"6")</f>
        <v/>
      </c>
      <c r="M184" s="66" t="str">
        <f ca="1">INDIRECT($B184&amp;"!"&amp;M$3&amp;"6")</f>
        <v/>
      </c>
      <c r="N184" s="67" t="e">
        <f ca="1">M184-L184</f>
        <v>#VALUE!</v>
      </c>
      <c r="O184" s="216"/>
      <c r="P184" s="3"/>
    </row>
    <row r="185" spans="2:28" x14ac:dyDescent="0.25">
      <c r="B185" s="86" t="str">
        <f>B184</f>
        <v>Gymnast_UVGgs_0100</v>
      </c>
      <c r="C185" s="93" t="s">
        <v>56</v>
      </c>
      <c r="D185" s="217" t="e">
        <f ca="1">0.000001*INDIRECT($B185&amp;"!E7")</f>
        <v>#VALUE!</v>
      </c>
      <c r="E185" s="216"/>
      <c r="F185" s="86" t="str">
        <f>F184</f>
        <v>Gymnast_UVGgs_0100</v>
      </c>
      <c r="G185" s="93" t="s">
        <v>56</v>
      </c>
      <c r="H185" s="217" t="e">
        <f ca="1">0.000001*INDIRECT($B185&amp;"!AC7")</f>
        <v>#VALUE!</v>
      </c>
      <c r="J185" s="218" t="e">
        <f ca="1">H185/D185-1</f>
        <v>#VALUE!</v>
      </c>
      <c r="L185" s="65" t="str">
        <f ca="1">INDIRECT($B185&amp;"!"&amp;L$3&amp;"7")</f>
        <v/>
      </c>
      <c r="M185" s="66" t="str">
        <f ca="1">INDIRECT($B185&amp;"!"&amp;M$3&amp;"7")</f>
        <v/>
      </c>
      <c r="N185" s="67" t="e">
        <f ca="1">M185-L185</f>
        <v>#VALUE!</v>
      </c>
      <c r="O185" s="216"/>
      <c r="P185" s="168"/>
    </row>
    <row r="186" spans="2:28" x14ac:dyDescent="0.25">
      <c r="B186" s="86" t="str">
        <f>B185</f>
        <v>Gymnast_UVGgs_0100</v>
      </c>
      <c r="C186" s="93" t="s">
        <v>57</v>
      </c>
      <c r="D186" s="217" t="e">
        <f ca="1">0.000001*INDIRECT($B186&amp;"!E8")</f>
        <v>#VALUE!</v>
      </c>
      <c r="E186" s="216"/>
      <c r="F186" s="86" t="str">
        <f>F185</f>
        <v>Gymnast_UVGgs_0100</v>
      </c>
      <c r="G186" s="93" t="s">
        <v>57</v>
      </c>
      <c r="H186" s="217" t="e">
        <f ca="1">0.000001*INDIRECT($B186&amp;"!AC8")</f>
        <v>#VALUE!</v>
      </c>
      <c r="J186" s="218" t="e">
        <f ca="1">H186/D186-1</f>
        <v>#VALUE!</v>
      </c>
      <c r="L186" s="65" t="str">
        <f ca="1">INDIRECT($B186&amp;"!"&amp;L$3&amp;"8")</f>
        <v/>
      </c>
      <c r="M186" s="66" t="str">
        <f ca="1">INDIRECT($B186&amp;"!"&amp;M$3&amp;"8")</f>
        <v/>
      </c>
      <c r="N186" s="67" t="e">
        <f ca="1">M186-L186</f>
        <v>#VALUE!</v>
      </c>
      <c r="O186" s="216"/>
      <c r="P186" s="225"/>
      <c r="AB186" s="220"/>
    </row>
    <row r="187" spans="2:28" ht="18" customHeight="1" thickBot="1" x14ac:dyDescent="0.3">
      <c r="B187" s="86" t="str">
        <f>B186</f>
        <v>Gymnast_UVGgs_0100</v>
      </c>
      <c r="C187" s="93" t="s">
        <v>58</v>
      </c>
      <c r="D187" s="217" t="e">
        <f ca="1">0.000001*INDIRECT($B187&amp;"!E9")</f>
        <v>#VALUE!</v>
      </c>
      <c r="E187" s="216"/>
      <c r="F187" s="86" t="str">
        <f>F186</f>
        <v>Gymnast_UVGgs_0100</v>
      </c>
      <c r="G187" s="93" t="s">
        <v>58</v>
      </c>
      <c r="H187" s="217" t="e">
        <f ca="1">0.000001*INDIRECT($B187&amp;"!AC9")</f>
        <v>#VALUE!</v>
      </c>
      <c r="J187" s="218" t="e">
        <f ca="1">H187/D187-1</f>
        <v>#VALUE!</v>
      </c>
      <c r="L187" s="65" t="str">
        <f ca="1">INDIRECT($B187&amp;"!"&amp;L$3&amp;"9")</f>
        <v/>
      </c>
      <c r="M187" s="66" t="str">
        <f ca="1">INDIRECT($B187&amp;"!"&amp;M$3&amp;"9")</f>
        <v/>
      </c>
      <c r="N187" s="67" t="e">
        <f ca="1">M187-L187</f>
        <v>#VALUE!</v>
      </c>
      <c r="O187" s="216"/>
      <c r="P187" s="221"/>
    </row>
    <row r="188" spans="2:28" x14ac:dyDescent="0.25">
      <c r="B188" s="80"/>
      <c r="C188" s="81"/>
      <c r="D188" s="222"/>
      <c r="F188" s="80"/>
      <c r="G188" s="81"/>
      <c r="H188" s="222"/>
      <c r="J188" s="69" t="e">
        <f ca="1">MIN(D183:D187,H183:H187)</f>
        <v>#VALUE!</v>
      </c>
      <c r="L188" s="70"/>
      <c r="M188" s="71"/>
      <c r="N188" s="72"/>
      <c r="O188" s="216"/>
      <c r="P188" s="205"/>
    </row>
    <row r="189" spans="2:28" ht="16.5" customHeight="1" thickBot="1" x14ac:dyDescent="0.3">
      <c r="B189" s="62"/>
      <c r="C189" s="63"/>
      <c r="D189" s="223"/>
      <c r="E189" s="216"/>
      <c r="F189" s="62"/>
      <c r="G189" s="63"/>
      <c r="H189" s="223"/>
      <c r="J189" s="73" t="e">
        <f ca="1">MAX(D183:D187,H183:H187)</f>
        <v>#VALUE!</v>
      </c>
      <c r="L189" s="74">
        <f>L188</f>
        <v>0</v>
      </c>
      <c r="M189" s="75">
        <f>M188</f>
        <v>0</v>
      </c>
      <c r="N189" s="68"/>
      <c r="O189" s="216"/>
      <c r="P189" s="5"/>
      <c r="AB189" s="220"/>
    </row>
    <row r="190" spans="2:28" ht="18" customHeight="1" thickBot="1" x14ac:dyDescent="0.3"/>
    <row r="191" spans="2:28" ht="16.5" customHeight="1" x14ac:dyDescent="0.25">
      <c r="B191" s="265" t="s">
        <v>38</v>
      </c>
      <c r="C191" s="260"/>
      <c r="D191" s="261"/>
      <c r="E191" s="2"/>
      <c r="F191" s="265" t="str">
        <f>B191</f>
        <v>Gymnast_UVGgs_0200</v>
      </c>
      <c r="G191" s="260"/>
      <c r="H191" s="261"/>
      <c r="J191" s="205"/>
      <c r="L191" s="259" t="str">
        <f>F191</f>
        <v>Gymnast_UVGgs_0200</v>
      </c>
      <c r="M191" s="260"/>
      <c r="N191" s="261"/>
      <c r="O191" s="149"/>
      <c r="P191" s="205"/>
    </row>
    <row r="192" spans="2:28" ht="16.5" customHeight="1" x14ac:dyDescent="0.25">
      <c r="B192" s="262" t="s">
        <v>47</v>
      </c>
      <c r="C192" s="257"/>
      <c r="D192" s="61" t="s">
        <v>48</v>
      </c>
      <c r="E192" s="216"/>
      <c r="F192" s="262" t="s">
        <v>47</v>
      </c>
      <c r="G192" s="257"/>
      <c r="H192" s="61" t="s">
        <v>48</v>
      </c>
      <c r="J192" s="203" t="s">
        <v>49</v>
      </c>
      <c r="L192" s="256" t="s">
        <v>64</v>
      </c>
      <c r="M192" s="257"/>
      <c r="N192" s="258"/>
      <c r="O192" s="59"/>
      <c r="P192" s="3"/>
    </row>
    <row r="193" spans="2:28" x14ac:dyDescent="0.25">
      <c r="B193" s="145" t="s">
        <v>0</v>
      </c>
      <c r="C193" s="93" t="s">
        <v>51</v>
      </c>
      <c r="D193" s="60" t="s">
        <v>52</v>
      </c>
      <c r="E193" s="216"/>
      <c r="F193" s="145" t="s">
        <v>0</v>
      </c>
      <c r="G193" s="93" t="s">
        <v>51</v>
      </c>
      <c r="H193" s="60" t="s">
        <v>52</v>
      </c>
      <c r="J193" s="64"/>
      <c r="L193" s="146" t="str">
        <f>CONCATENATE(B$2," ",L191)</f>
        <v>MPEG151-octree Gymnast_UVGgs_0200</v>
      </c>
      <c r="M193" s="147" t="str">
        <f>CONCATENATE(F$2," ",L191)</f>
        <v>MPEG151-修改上下文 Gymnast_UVGgs_0200</v>
      </c>
      <c r="N193" s="148" t="s">
        <v>53</v>
      </c>
      <c r="O193" s="2"/>
      <c r="P193" s="3" t="s">
        <v>44</v>
      </c>
    </row>
    <row r="194" spans="2:28" x14ac:dyDescent="0.25">
      <c r="B194" s="86" t="str">
        <f>B191</f>
        <v>Gymnast_UVGgs_0200</v>
      </c>
      <c r="C194" s="93" t="s">
        <v>54</v>
      </c>
      <c r="D194" s="217" t="e">
        <f ca="1">0.000001*INDIRECT($B194&amp;"!E5")</f>
        <v>#VALUE!</v>
      </c>
      <c r="E194" s="216"/>
      <c r="F194" s="86" t="str">
        <f>F191</f>
        <v>Gymnast_UVGgs_0200</v>
      </c>
      <c r="G194" s="93" t="s">
        <v>54</v>
      </c>
      <c r="H194" s="217" t="e">
        <f ca="1">0.000001*INDIRECT($B194&amp;"!AC5")</f>
        <v>#VALUE!</v>
      </c>
      <c r="J194" s="218" t="e">
        <f ca="1">H194/D194-1</f>
        <v>#VALUE!</v>
      </c>
      <c r="L194" s="65" t="str">
        <f ca="1">INDIRECT($B194&amp;"!"&amp;L$3&amp;"5")</f>
        <v/>
      </c>
      <c r="M194" s="66" t="str">
        <f ca="1">INDIRECT($B194&amp;"!"&amp;M$3&amp;"5")</f>
        <v/>
      </c>
      <c r="N194" s="67" t="e">
        <f ca="1">M194-L194</f>
        <v>#VALUE!</v>
      </c>
      <c r="O194" s="216"/>
      <c r="P194" s="218" t="e">
        <f ca="1">bdRateExtend(D194:D198,L194:L198,H194:H198,M194:M198)</f>
        <v>#VALUE!</v>
      </c>
    </row>
    <row r="195" spans="2:28" x14ac:dyDescent="0.25">
      <c r="B195" s="86" t="str">
        <f>B194</f>
        <v>Gymnast_UVGgs_0200</v>
      </c>
      <c r="C195" s="93" t="s">
        <v>55</v>
      </c>
      <c r="D195" s="217" t="e">
        <f ca="1">0.000001*INDIRECT($B195&amp;"!E6")</f>
        <v>#VALUE!</v>
      </c>
      <c r="E195" s="216"/>
      <c r="F195" s="86" t="str">
        <f>F194</f>
        <v>Gymnast_UVGgs_0200</v>
      </c>
      <c r="G195" s="93" t="s">
        <v>55</v>
      </c>
      <c r="H195" s="217" t="e">
        <f ca="1">0.000001*INDIRECT($B195&amp;"!AC6")</f>
        <v>#VALUE!</v>
      </c>
      <c r="J195" s="218" t="e">
        <f ca="1">H195/D195-1</f>
        <v>#VALUE!</v>
      </c>
      <c r="L195" s="65" t="str">
        <f ca="1">INDIRECT($B195&amp;"!"&amp;L$3&amp;"6")</f>
        <v/>
      </c>
      <c r="M195" s="66" t="str">
        <f ca="1">INDIRECT($B195&amp;"!"&amp;M$3&amp;"6")</f>
        <v/>
      </c>
      <c r="N195" s="67" t="e">
        <f ca="1">M195-L195</f>
        <v>#VALUE!</v>
      </c>
      <c r="O195" s="216"/>
      <c r="P195" s="3"/>
    </row>
    <row r="196" spans="2:28" x14ac:dyDescent="0.25">
      <c r="B196" s="86" t="str">
        <f>B195</f>
        <v>Gymnast_UVGgs_0200</v>
      </c>
      <c r="C196" s="93" t="s">
        <v>56</v>
      </c>
      <c r="D196" s="217" t="e">
        <f ca="1">0.000001*INDIRECT($B196&amp;"!E7")</f>
        <v>#VALUE!</v>
      </c>
      <c r="E196" s="216"/>
      <c r="F196" s="86" t="str">
        <f>F195</f>
        <v>Gymnast_UVGgs_0200</v>
      </c>
      <c r="G196" s="93" t="s">
        <v>56</v>
      </c>
      <c r="H196" s="217" t="e">
        <f ca="1">0.000001*INDIRECT($B196&amp;"!AC7")</f>
        <v>#VALUE!</v>
      </c>
      <c r="J196" s="218" t="e">
        <f ca="1">H196/D196-1</f>
        <v>#VALUE!</v>
      </c>
      <c r="L196" s="65" t="str">
        <f ca="1">INDIRECT($B196&amp;"!"&amp;L$3&amp;"7")</f>
        <v/>
      </c>
      <c r="M196" s="66" t="str">
        <f ca="1">INDIRECT($B196&amp;"!"&amp;M$3&amp;"7")</f>
        <v/>
      </c>
      <c r="N196" s="67" t="e">
        <f ca="1">M196-L196</f>
        <v>#VALUE!</v>
      </c>
      <c r="O196" s="216"/>
      <c r="P196" s="168"/>
      <c r="AB196" s="220"/>
    </row>
    <row r="197" spans="2:28" x14ac:dyDescent="0.25">
      <c r="B197" s="86" t="str">
        <f>B196</f>
        <v>Gymnast_UVGgs_0200</v>
      </c>
      <c r="C197" s="93" t="s">
        <v>57</v>
      </c>
      <c r="D197" s="217" t="e">
        <f ca="1">0.000001*INDIRECT($B197&amp;"!E8")</f>
        <v>#VALUE!</v>
      </c>
      <c r="E197" s="216"/>
      <c r="F197" s="86" t="str">
        <f>F196</f>
        <v>Gymnast_UVGgs_0200</v>
      </c>
      <c r="G197" s="93" t="s">
        <v>57</v>
      </c>
      <c r="H197" s="217" t="e">
        <f ca="1">0.000001*INDIRECT($B197&amp;"!AC8")</f>
        <v>#VALUE!</v>
      </c>
      <c r="J197" s="218" t="e">
        <f ca="1">H197/D197-1</f>
        <v>#VALUE!</v>
      </c>
      <c r="L197" s="65" t="str">
        <f ca="1">INDIRECT($B197&amp;"!"&amp;L$3&amp;"8")</f>
        <v/>
      </c>
      <c r="M197" s="66" t="str">
        <f ca="1">INDIRECT($B197&amp;"!"&amp;M$3&amp;"8")</f>
        <v/>
      </c>
      <c r="N197" s="67" t="e">
        <f ca="1">M197-L197</f>
        <v>#VALUE!</v>
      </c>
      <c r="O197" s="216"/>
      <c r="P197" s="225"/>
    </row>
    <row r="198" spans="2:28" ht="18" customHeight="1" thickBot="1" x14ac:dyDescent="0.3">
      <c r="B198" s="86" t="str">
        <f>B197</f>
        <v>Gymnast_UVGgs_0200</v>
      </c>
      <c r="C198" s="93" t="s">
        <v>58</v>
      </c>
      <c r="D198" s="217" t="e">
        <f ca="1">0.000001*INDIRECT($B198&amp;"!E9")</f>
        <v>#VALUE!</v>
      </c>
      <c r="E198" s="216"/>
      <c r="F198" s="86" t="str">
        <f>F197</f>
        <v>Gymnast_UVGgs_0200</v>
      </c>
      <c r="G198" s="93" t="s">
        <v>58</v>
      </c>
      <c r="H198" s="217" t="e">
        <f ca="1">0.000001*INDIRECT($B198&amp;"!AC9")</f>
        <v>#VALUE!</v>
      </c>
      <c r="J198" s="218" t="e">
        <f ca="1">H198/D198-1</f>
        <v>#VALUE!</v>
      </c>
      <c r="L198" s="65" t="str">
        <f ca="1">INDIRECT($B198&amp;"!"&amp;L$3&amp;"9")</f>
        <v/>
      </c>
      <c r="M198" s="66" t="str">
        <f ca="1">INDIRECT($B198&amp;"!"&amp;M$3&amp;"9")</f>
        <v/>
      </c>
      <c r="N198" s="67" t="e">
        <f ca="1">M198-L198</f>
        <v>#VALUE!</v>
      </c>
      <c r="O198" s="216"/>
      <c r="P198" s="221"/>
    </row>
    <row r="199" spans="2:28" ht="16.5" customHeight="1" x14ac:dyDescent="0.25">
      <c r="B199" s="80"/>
      <c r="C199" s="81"/>
      <c r="D199" s="222"/>
      <c r="F199" s="80"/>
      <c r="G199" s="81"/>
      <c r="H199" s="222"/>
      <c r="J199" s="69" t="e">
        <f ca="1">MIN(D194:D198,H194:H198)</f>
        <v>#VALUE!</v>
      </c>
      <c r="L199" s="70"/>
      <c r="M199" s="71"/>
      <c r="N199" s="72"/>
      <c r="O199" s="216"/>
      <c r="P199" s="205"/>
      <c r="AB199" s="220"/>
    </row>
    <row r="200" spans="2:28" ht="18" customHeight="1" thickBot="1" x14ac:dyDescent="0.3">
      <c r="B200" s="62"/>
      <c r="C200" s="63"/>
      <c r="D200" s="223"/>
      <c r="E200" s="216"/>
      <c r="F200" s="62"/>
      <c r="G200" s="63"/>
      <c r="H200" s="223"/>
      <c r="J200" s="73" t="e">
        <f ca="1">MAX(D194:D198,H194:H198)</f>
        <v>#VALUE!</v>
      </c>
      <c r="L200" s="74">
        <f>L199</f>
        <v>0</v>
      </c>
      <c r="M200" s="75">
        <f>M199</f>
        <v>0</v>
      </c>
      <c r="N200" s="68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39</v>
      </c>
      <c r="C202" s="260"/>
      <c r="D202" s="261"/>
      <c r="E202" s="2"/>
      <c r="F202" s="265" t="str">
        <f>B202</f>
        <v>artwork</v>
      </c>
      <c r="G202" s="260"/>
      <c r="H202" s="261"/>
      <c r="J202" s="205"/>
      <c r="L202" s="259" t="str">
        <f>F202</f>
        <v>artwork</v>
      </c>
      <c r="M202" s="260"/>
      <c r="N202" s="261"/>
      <c r="O202" s="149"/>
      <c r="P202" s="205"/>
    </row>
    <row r="203" spans="2:28" x14ac:dyDescent="0.25">
      <c r="B203" s="262" t="s">
        <v>47</v>
      </c>
      <c r="C203" s="257"/>
      <c r="D203" s="61" t="s">
        <v>48</v>
      </c>
      <c r="E203" s="216"/>
      <c r="F203" s="262" t="s">
        <v>47</v>
      </c>
      <c r="G203" s="257"/>
      <c r="H203" s="61" t="s">
        <v>48</v>
      </c>
      <c r="J203" s="203" t="s">
        <v>49</v>
      </c>
      <c r="L203" s="256" t="s">
        <v>64</v>
      </c>
      <c r="M203" s="257"/>
      <c r="N203" s="258"/>
      <c r="O203" s="59"/>
      <c r="P203" s="3"/>
    </row>
    <row r="204" spans="2:28" x14ac:dyDescent="0.25">
      <c r="B204" s="145" t="s">
        <v>0</v>
      </c>
      <c r="C204" s="93" t="s">
        <v>51</v>
      </c>
      <c r="D204" s="60" t="s">
        <v>52</v>
      </c>
      <c r="E204" s="216"/>
      <c r="F204" s="145" t="s">
        <v>0</v>
      </c>
      <c r="G204" s="93" t="s">
        <v>51</v>
      </c>
      <c r="H204" s="60" t="s">
        <v>52</v>
      </c>
      <c r="J204" s="64"/>
      <c r="L204" s="146" t="str">
        <f>CONCATENATE(B$2," ",L202)</f>
        <v>MPEG151-octree artwork</v>
      </c>
      <c r="M204" s="147" t="str">
        <f>CONCATENATE(F$2," ",L202)</f>
        <v>MPEG151-修改上下文 artwork</v>
      </c>
      <c r="N204" s="148" t="s">
        <v>53</v>
      </c>
      <c r="O204" s="2"/>
      <c r="P204" s="3" t="s">
        <v>44</v>
      </c>
    </row>
    <row r="205" spans="2:28" x14ac:dyDescent="0.25">
      <c r="B205" s="86" t="str">
        <f>B202</f>
        <v>artwork</v>
      </c>
      <c r="C205" s="93" t="s">
        <v>54</v>
      </c>
      <c r="D205" s="217" t="e">
        <f ca="1">0.000001*INDIRECT($B205&amp;"!E5")</f>
        <v>#VALUE!</v>
      </c>
      <c r="E205" s="216"/>
      <c r="F205" s="86" t="str">
        <f>F202</f>
        <v>artwork</v>
      </c>
      <c r="G205" s="93" t="s">
        <v>54</v>
      </c>
      <c r="H205" s="217" t="e">
        <f ca="1">0.000001*INDIRECT($B205&amp;"!AC5")</f>
        <v>#VALUE!</v>
      </c>
      <c r="J205" s="218" t="e">
        <f ca="1">H205/D205-1</f>
        <v>#VALUE!</v>
      </c>
      <c r="L205" s="65" t="str">
        <f ca="1">INDIRECT($B205&amp;"!"&amp;L$3&amp;"5")</f>
        <v/>
      </c>
      <c r="M205" s="66" t="str">
        <f ca="1">INDIRECT($B205&amp;"!"&amp;M$3&amp;"5")</f>
        <v/>
      </c>
      <c r="N205" s="67" t="e">
        <f ca="1">M205-L205</f>
        <v>#VALUE!</v>
      </c>
      <c r="O205" s="216"/>
      <c r="P205" s="218" t="e">
        <f ca="1">bdRateExtend(D205:D209,L205:L209,H205:H209,M205:M209)</f>
        <v>#VALUE!</v>
      </c>
    </row>
    <row r="206" spans="2:28" x14ac:dyDescent="0.25">
      <c r="B206" s="86" t="str">
        <f>B205</f>
        <v>artwork</v>
      </c>
      <c r="C206" s="93" t="s">
        <v>55</v>
      </c>
      <c r="D206" s="217" t="e">
        <f ca="1">0.000001*INDIRECT($B206&amp;"!E6")</f>
        <v>#VALUE!</v>
      </c>
      <c r="E206" s="216"/>
      <c r="F206" s="86" t="str">
        <f>F205</f>
        <v>artwork</v>
      </c>
      <c r="G206" s="93" t="s">
        <v>55</v>
      </c>
      <c r="H206" s="217" t="e">
        <f ca="1">0.000001*INDIRECT($B206&amp;"!AC6")</f>
        <v>#VALUE!</v>
      </c>
      <c r="J206" s="218" t="e">
        <f ca="1">H206/D206-1</f>
        <v>#VALUE!</v>
      </c>
      <c r="L206" s="65" t="str">
        <f ca="1">INDIRECT($B206&amp;"!"&amp;L$3&amp;"6")</f>
        <v/>
      </c>
      <c r="M206" s="66" t="str">
        <f ca="1">INDIRECT($B206&amp;"!"&amp;M$3&amp;"6")</f>
        <v/>
      </c>
      <c r="N206" s="67" t="e">
        <f ca="1">M206-L206</f>
        <v>#VALUE!</v>
      </c>
      <c r="O206" s="216"/>
      <c r="P206" s="3"/>
      <c r="AB206" s="220"/>
    </row>
    <row r="207" spans="2:28" x14ac:dyDescent="0.25">
      <c r="B207" s="86" t="str">
        <f>B206</f>
        <v>artwork</v>
      </c>
      <c r="C207" s="93" t="s">
        <v>56</v>
      </c>
      <c r="D207" s="217" t="e">
        <f ca="1">0.000001*INDIRECT($B207&amp;"!E7")</f>
        <v>#VALUE!</v>
      </c>
      <c r="E207" s="216"/>
      <c r="F207" s="86" t="str">
        <f>F206</f>
        <v>artwork</v>
      </c>
      <c r="G207" s="93" t="s">
        <v>56</v>
      </c>
      <c r="H207" s="217" t="e">
        <f ca="1">0.000001*INDIRECT($B207&amp;"!AC7")</f>
        <v>#VALUE!</v>
      </c>
      <c r="J207" s="218" t="e">
        <f ca="1">H207/D207-1</f>
        <v>#VALUE!</v>
      </c>
      <c r="L207" s="65" t="str">
        <f ca="1">INDIRECT($B207&amp;"!"&amp;L$3&amp;"7")</f>
        <v/>
      </c>
      <c r="M207" s="66" t="str">
        <f ca="1">INDIRECT($B207&amp;"!"&amp;M$3&amp;"7")</f>
        <v/>
      </c>
      <c r="N207" s="67" t="e">
        <f ca="1">M207-L207</f>
        <v>#VALUE!</v>
      </c>
      <c r="O207" s="216"/>
      <c r="P207" s="168"/>
    </row>
    <row r="208" spans="2:28" x14ac:dyDescent="0.25">
      <c r="B208" s="86" t="str">
        <f>B207</f>
        <v>artwork</v>
      </c>
      <c r="C208" s="93" t="s">
        <v>57</v>
      </c>
      <c r="D208" s="217" t="e">
        <f ca="1">0.000001*INDIRECT($B208&amp;"!E8")</f>
        <v>#VALUE!</v>
      </c>
      <c r="E208" s="216"/>
      <c r="F208" s="86" t="str">
        <f>F207</f>
        <v>artwork</v>
      </c>
      <c r="G208" s="93" t="s">
        <v>57</v>
      </c>
      <c r="H208" s="217" t="e">
        <f ca="1">0.000001*INDIRECT($B208&amp;"!AC8")</f>
        <v>#VALUE!</v>
      </c>
      <c r="J208" s="218" t="e">
        <f ca="1">H208/D208-1</f>
        <v>#VALUE!</v>
      </c>
      <c r="L208" s="65" t="str">
        <f ca="1">INDIRECT($B208&amp;"!"&amp;L$3&amp;"8")</f>
        <v/>
      </c>
      <c r="M208" s="66" t="str">
        <f ca="1">INDIRECT($B208&amp;"!"&amp;M$3&amp;"8")</f>
        <v/>
      </c>
      <c r="N208" s="67" t="e">
        <f ca="1">M208-L208</f>
        <v>#VALUE!</v>
      </c>
      <c r="O208" s="216"/>
      <c r="P208" s="225"/>
    </row>
    <row r="209" spans="2:28" ht="16.5" customHeight="1" thickBot="1" x14ac:dyDescent="0.3">
      <c r="B209" s="86" t="str">
        <f>B208</f>
        <v>artwork</v>
      </c>
      <c r="C209" s="93" t="s">
        <v>58</v>
      </c>
      <c r="D209" s="217" t="e">
        <f ca="1">0.000001*INDIRECT($B209&amp;"!E9")</f>
        <v>#VALUE!</v>
      </c>
      <c r="E209" s="216"/>
      <c r="F209" s="86" t="str">
        <f>F208</f>
        <v>artwork</v>
      </c>
      <c r="G209" s="93" t="s">
        <v>58</v>
      </c>
      <c r="H209" s="217" t="e">
        <f ca="1">0.000001*INDIRECT($B209&amp;"!AC9")</f>
        <v>#VALUE!</v>
      </c>
      <c r="J209" s="218" t="e">
        <f ca="1">H209/D209-1</f>
        <v>#VALUE!</v>
      </c>
      <c r="L209" s="65" t="str">
        <f ca="1">INDIRECT($B209&amp;"!"&amp;L$3&amp;"9")</f>
        <v/>
      </c>
      <c r="M209" s="66" t="str">
        <f ca="1">INDIRECT($B209&amp;"!"&amp;M$3&amp;"9")</f>
        <v/>
      </c>
      <c r="N209" s="67" t="e">
        <f ca="1">M209-L209</f>
        <v>#VALUE!</v>
      </c>
      <c r="O209" s="216"/>
      <c r="P209" s="221"/>
      <c r="AB209" s="220"/>
    </row>
    <row r="210" spans="2:28" x14ac:dyDescent="0.25">
      <c r="B210" s="80"/>
      <c r="C210" s="81"/>
      <c r="D210" s="222"/>
      <c r="F210" s="80"/>
      <c r="G210" s="81"/>
      <c r="H210" s="222"/>
      <c r="J210" s="69" t="e">
        <f ca="1">MIN(D205:D209,H205:H209)</f>
        <v>#VALUE!</v>
      </c>
      <c r="L210" s="70"/>
      <c r="M210" s="71"/>
      <c r="N210" s="72"/>
      <c r="O210" s="216"/>
      <c r="P210" s="205"/>
    </row>
    <row r="211" spans="2:28" ht="16.5" customHeight="1" thickBot="1" x14ac:dyDescent="0.3">
      <c r="B211" s="62"/>
      <c r="C211" s="63"/>
      <c r="D211" s="223"/>
      <c r="E211" s="216"/>
      <c r="F211" s="62"/>
      <c r="G211" s="63"/>
      <c r="H211" s="223"/>
      <c r="J211" s="73" t="e">
        <f ca="1">MAX(D205:D209,H205:H209)</f>
        <v>#VALUE!</v>
      </c>
      <c r="L211" s="74">
        <f>L210</f>
        <v>0</v>
      </c>
      <c r="M211" s="75">
        <f>M210</f>
        <v>0</v>
      </c>
      <c r="N211" s="68"/>
      <c r="O211" s="216"/>
      <c r="P211" s="5"/>
    </row>
    <row r="212" spans="2:28" ht="16.5" customHeight="1" thickBot="1" x14ac:dyDescent="0.3"/>
    <row r="213" spans="2:28" x14ac:dyDescent="0.25">
      <c r="B213" s="265" t="s">
        <v>40</v>
      </c>
      <c r="C213" s="260"/>
      <c r="D213" s="261"/>
      <c r="E213" s="2"/>
      <c r="F213" s="265" t="str">
        <f>B213</f>
        <v>panda</v>
      </c>
      <c r="G213" s="260"/>
      <c r="H213" s="261"/>
      <c r="J213" s="205"/>
      <c r="L213" s="259" t="str">
        <f>F213</f>
        <v>panda</v>
      </c>
      <c r="M213" s="260"/>
      <c r="N213" s="261"/>
      <c r="O213" s="149"/>
      <c r="P213" s="205"/>
    </row>
    <row r="214" spans="2:28" x14ac:dyDescent="0.25">
      <c r="B214" s="262" t="s">
        <v>47</v>
      </c>
      <c r="C214" s="257"/>
      <c r="D214" s="61" t="s">
        <v>48</v>
      </c>
      <c r="E214" s="216"/>
      <c r="F214" s="262" t="s">
        <v>47</v>
      </c>
      <c r="G214" s="257"/>
      <c r="H214" s="61" t="s">
        <v>48</v>
      </c>
      <c r="J214" s="203" t="s">
        <v>49</v>
      </c>
      <c r="L214" s="256" t="s">
        <v>64</v>
      </c>
      <c r="M214" s="257"/>
      <c r="N214" s="258"/>
      <c r="O214" s="59"/>
      <c r="P214" s="3"/>
    </row>
    <row r="215" spans="2:28" x14ac:dyDescent="0.25">
      <c r="B215" s="145" t="s">
        <v>0</v>
      </c>
      <c r="C215" s="93" t="s">
        <v>51</v>
      </c>
      <c r="D215" s="60" t="s">
        <v>52</v>
      </c>
      <c r="E215" s="216"/>
      <c r="F215" s="145" t="s">
        <v>0</v>
      </c>
      <c r="G215" s="93" t="s">
        <v>51</v>
      </c>
      <c r="H215" s="60" t="s">
        <v>52</v>
      </c>
      <c r="I215" s="2"/>
      <c r="J215" s="64"/>
      <c r="L215" s="146" t="str">
        <f>CONCATENATE(B$2," ",L213)</f>
        <v>MPEG151-octree panda</v>
      </c>
      <c r="M215" s="147" t="str">
        <f>CONCATENATE(F$2," ",L213)</f>
        <v>MPEG151-修改上下文 panda</v>
      </c>
      <c r="N215" s="148" t="s">
        <v>53</v>
      </c>
      <c r="O215" s="2"/>
      <c r="P215" s="3" t="s">
        <v>44</v>
      </c>
      <c r="Q215" s="2"/>
      <c r="R215" s="2"/>
      <c r="S215" s="2"/>
      <c r="T215" s="2"/>
      <c r="U215" s="2"/>
      <c r="V215" s="2"/>
      <c r="X215" s="149"/>
      <c r="Y215" s="149"/>
      <c r="Z215" s="149"/>
    </row>
    <row r="216" spans="2:28" x14ac:dyDescent="0.25">
      <c r="B216" s="86" t="str">
        <f>B213</f>
        <v>panda</v>
      </c>
      <c r="C216" s="93" t="s">
        <v>54</v>
      </c>
      <c r="D216" s="217" t="e">
        <f ca="1">0.000001*INDIRECT($B216&amp;"!E5")</f>
        <v>#VALUE!</v>
      </c>
      <c r="E216" s="216"/>
      <c r="F216" s="86" t="str">
        <f>F213</f>
        <v>panda</v>
      </c>
      <c r="G216" s="93" t="s">
        <v>54</v>
      </c>
      <c r="H216" s="217" t="e">
        <f ca="1">0.000001*INDIRECT($B216&amp;"!AC5")</f>
        <v>#VALUE!</v>
      </c>
      <c r="I216" s="9"/>
      <c r="J216" s="218" t="e">
        <f ca="1">H216/D216-1</f>
        <v>#VALUE!</v>
      </c>
      <c r="L216" s="65" t="str">
        <f ca="1">INDIRECT($B216&amp;"!"&amp;L$3&amp;"5")</f>
        <v/>
      </c>
      <c r="M216" s="66" t="str">
        <f ca="1">INDIRECT($B216&amp;"!"&amp;M$3&amp;"5")</f>
        <v/>
      </c>
      <c r="N216" s="67" t="e">
        <f ca="1">M216-L216</f>
        <v>#VALUE!</v>
      </c>
      <c r="O216" s="216"/>
      <c r="P216" s="218" t="e">
        <f ca="1">bdRateExtend(D216:D220,L216:L220,H216:H220,M216:M220)</f>
        <v>#VALUE!</v>
      </c>
      <c r="Q216" s="216"/>
      <c r="R216" s="9"/>
      <c r="S216" s="9"/>
      <c r="T216" s="9"/>
      <c r="U216" s="9"/>
      <c r="V216" s="219"/>
      <c r="X216" s="6"/>
      <c r="Y216" s="6"/>
      <c r="Z216" s="56"/>
      <c r="AB216" s="220"/>
    </row>
    <row r="217" spans="2:28" x14ac:dyDescent="0.25">
      <c r="B217" s="86" t="str">
        <f>B216</f>
        <v>panda</v>
      </c>
      <c r="C217" s="93" t="s">
        <v>55</v>
      </c>
      <c r="D217" s="217" t="e">
        <f ca="1">0.000001*INDIRECT($B217&amp;"!E6")</f>
        <v>#VALUE!</v>
      </c>
      <c r="E217" s="216"/>
      <c r="F217" s="86" t="str">
        <f>F216</f>
        <v>panda</v>
      </c>
      <c r="G217" s="93" t="s">
        <v>55</v>
      </c>
      <c r="H217" s="217" t="e">
        <f ca="1">0.000001*INDIRECT($B217&amp;"!AC6")</f>
        <v>#VALUE!</v>
      </c>
      <c r="I217" s="9"/>
      <c r="J217" s="218" t="e">
        <f ca="1">H217/D217-1</f>
        <v>#VALUE!</v>
      </c>
      <c r="L217" s="65" t="str">
        <f ca="1">INDIRECT($B217&amp;"!"&amp;L$3&amp;"6")</f>
        <v/>
      </c>
      <c r="M217" s="66" t="str">
        <f ca="1">INDIRECT($B217&amp;"!"&amp;M$3&amp;"6")</f>
        <v/>
      </c>
      <c r="N217" s="67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6"/>
    </row>
    <row r="218" spans="2:28" x14ac:dyDescent="0.25">
      <c r="B218" s="86" t="str">
        <f>B217</f>
        <v>panda</v>
      </c>
      <c r="C218" s="93" t="s">
        <v>56</v>
      </c>
      <c r="D218" s="217" t="e">
        <f ca="1">0.000001*INDIRECT($B218&amp;"!E7")</f>
        <v>#VALUE!</v>
      </c>
      <c r="E218" s="216"/>
      <c r="F218" s="86" t="str">
        <f>F217</f>
        <v>panda</v>
      </c>
      <c r="G218" s="93" t="s">
        <v>56</v>
      </c>
      <c r="H218" s="217" t="e">
        <f ca="1">0.000001*INDIRECT($B218&amp;"!AC7")</f>
        <v>#VALUE!</v>
      </c>
      <c r="I218" s="9"/>
      <c r="J218" s="218" t="e">
        <f ca="1">H218/D218-1</f>
        <v>#VALUE!</v>
      </c>
      <c r="L218" s="65" t="str">
        <f ca="1">INDIRECT($B218&amp;"!"&amp;L$3&amp;"7")</f>
        <v/>
      </c>
      <c r="M218" s="66" t="str">
        <f ca="1">INDIRECT($B218&amp;"!"&amp;M$3&amp;"7")</f>
        <v/>
      </c>
      <c r="N218" s="67" t="e">
        <f ca="1">M218-L218</f>
        <v>#VALUE!</v>
      </c>
      <c r="O218" s="216"/>
      <c r="P218" s="168"/>
      <c r="Q218" s="216"/>
      <c r="R218" s="9"/>
      <c r="S218" s="9"/>
      <c r="T218" s="9"/>
      <c r="U218" s="9"/>
      <c r="V218" s="219"/>
      <c r="X218" s="6"/>
      <c r="Y218" s="6"/>
      <c r="Z218" s="56"/>
    </row>
    <row r="219" spans="2:28" ht="16.5" customHeight="1" x14ac:dyDescent="0.25">
      <c r="B219" s="86" t="str">
        <f>B218</f>
        <v>panda</v>
      </c>
      <c r="C219" s="93" t="s">
        <v>57</v>
      </c>
      <c r="D219" s="217" t="e">
        <f ca="1">0.000001*INDIRECT($B219&amp;"!E8")</f>
        <v>#VALUE!</v>
      </c>
      <c r="E219" s="216"/>
      <c r="F219" s="86" t="str">
        <f>F218</f>
        <v>panda</v>
      </c>
      <c r="G219" s="93" t="s">
        <v>57</v>
      </c>
      <c r="H219" s="217" t="e">
        <f ca="1">0.000001*INDIRECT($B219&amp;"!AC8")</f>
        <v>#VALUE!</v>
      </c>
      <c r="I219" s="9"/>
      <c r="J219" s="218" t="e">
        <f ca="1">H219/D219-1</f>
        <v>#VALUE!</v>
      </c>
      <c r="L219" s="65" t="str">
        <f ca="1">INDIRECT($B219&amp;"!"&amp;L$3&amp;"8")</f>
        <v/>
      </c>
      <c r="M219" s="66" t="str">
        <f ca="1">INDIRECT($B219&amp;"!"&amp;M$3&amp;"8")</f>
        <v/>
      </c>
      <c r="N219" s="67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6"/>
      <c r="AB219" s="220"/>
    </row>
    <row r="220" spans="2:28" ht="18" customHeight="1" thickBot="1" x14ac:dyDescent="0.3">
      <c r="B220" s="86" t="str">
        <f>B219</f>
        <v>panda</v>
      </c>
      <c r="C220" s="93" t="s">
        <v>58</v>
      </c>
      <c r="D220" s="217" t="e">
        <f ca="1">0.000001*INDIRECT($B220&amp;"!E9")</f>
        <v>#VALUE!</v>
      </c>
      <c r="E220" s="216"/>
      <c r="F220" s="86" t="str">
        <f>F219</f>
        <v>panda</v>
      </c>
      <c r="G220" s="93" t="s">
        <v>58</v>
      </c>
      <c r="H220" s="217" t="e">
        <f ca="1">0.000001*INDIRECT($B220&amp;"!AC9")</f>
        <v>#VALUE!</v>
      </c>
      <c r="I220" s="9"/>
      <c r="J220" s="218" t="e">
        <f ca="1">H220/D220-1</f>
        <v>#VALUE!</v>
      </c>
      <c r="L220" s="65" t="str">
        <f ca="1">INDIRECT($B220&amp;"!"&amp;L$3&amp;"9")</f>
        <v/>
      </c>
      <c r="M220" s="66" t="str">
        <f ca="1">INDIRECT($B220&amp;"!"&amp;M$3&amp;"9")</f>
        <v/>
      </c>
      <c r="N220" s="67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7"/>
      <c r="X220" s="6"/>
      <c r="Y220" s="6"/>
      <c r="Z220" s="56"/>
    </row>
    <row r="221" spans="2:28" ht="16.5" customHeight="1" x14ac:dyDescent="0.25">
      <c r="B221" s="80"/>
      <c r="C221" s="81"/>
      <c r="D221" s="222"/>
      <c r="F221" s="80"/>
      <c r="G221" s="81"/>
      <c r="H221" s="222"/>
      <c r="I221" s="9"/>
      <c r="J221" s="69" t="e">
        <f ca="1">MIN(D216:D220,H216:H220)</f>
        <v>#VALUE!</v>
      </c>
      <c r="L221" s="70"/>
      <c r="M221" s="71"/>
      <c r="N221" s="72"/>
      <c r="O221" s="216"/>
      <c r="P221" s="205"/>
      <c r="Q221" s="216"/>
      <c r="R221" s="9"/>
      <c r="S221" s="9"/>
      <c r="T221" s="9"/>
      <c r="U221" s="9"/>
      <c r="V221" s="57"/>
      <c r="X221" s="58"/>
      <c r="Y221" s="58"/>
      <c r="Z221" s="56"/>
    </row>
    <row r="222" spans="2:28" ht="18" customHeight="1" thickBot="1" x14ac:dyDescent="0.3">
      <c r="B222" s="62"/>
      <c r="C222" s="63"/>
      <c r="D222" s="223"/>
      <c r="E222" s="216"/>
      <c r="F222" s="62"/>
      <c r="G222" s="63"/>
      <c r="H222" s="223"/>
      <c r="J222" s="73" t="e">
        <f ca="1">MAX(D216:D220,H216:H220)</f>
        <v>#VALUE!</v>
      </c>
      <c r="L222" s="74">
        <f>L221</f>
        <v>0</v>
      </c>
      <c r="M222" s="75">
        <f>M221</f>
        <v>0</v>
      </c>
      <c r="N222" s="68"/>
      <c r="O222" s="216"/>
      <c r="P222" s="5"/>
    </row>
    <row r="223" spans="2:28" ht="18" customHeight="1" thickBot="1" x14ac:dyDescent="0.3"/>
    <row r="224" spans="2:28" x14ac:dyDescent="0.25">
      <c r="B224" s="265" t="s">
        <v>41</v>
      </c>
      <c r="C224" s="260"/>
      <c r="D224" s="261"/>
      <c r="E224" s="2"/>
      <c r="F224" s="265" t="str">
        <f>B224</f>
        <v>wukong</v>
      </c>
      <c r="G224" s="260"/>
      <c r="H224" s="261"/>
      <c r="J224" s="205"/>
      <c r="L224" s="259" t="str">
        <f>F224</f>
        <v>wukong</v>
      </c>
      <c r="M224" s="260"/>
      <c r="N224" s="261"/>
      <c r="O224" s="149"/>
      <c r="P224" s="205"/>
    </row>
    <row r="225" spans="2:16" x14ac:dyDescent="0.25">
      <c r="B225" s="262" t="s">
        <v>47</v>
      </c>
      <c r="C225" s="257"/>
      <c r="D225" s="61" t="s">
        <v>48</v>
      </c>
      <c r="E225" s="216"/>
      <c r="F225" s="262" t="s">
        <v>47</v>
      </c>
      <c r="G225" s="257"/>
      <c r="H225" s="61" t="s">
        <v>48</v>
      </c>
      <c r="J225" s="203" t="s">
        <v>49</v>
      </c>
      <c r="L225" s="256" t="s">
        <v>64</v>
      </c>
      <c r="M225" s="257"/>
      <c r="N225" s="258"/>
      <c r="O225" s="59"/>
      <c r="P225" s="3"/>
    </row>
    <row r="226" spans="2:16" x14ac:dyDescent="0.25">
      <c r="B226" s="145" t="s">
        <v>0</v>
      </c>
      <c r="C226" s="93" t="s">
        <v>51</v>
      </c>
      <c r="D226" s="60" t="s">
        <v>52</v>
      </c>
      <c r="E226" s="216"/>
      <c r="F226" s="145" t="s">
        <v>0</v>
      </c>
      <c r="G226" s="93" t="s">
        <v>51</v>
      </c>
      <c r="H226" s="60" t="s">
        <v>52</v>
      </c>
      <c r="J226" s="64"/>
      <c r="L226" s="146" t="str">
        <f>CONCATENATE(B$2," ",L224)</f>
        <v>MPEG151-octree wukong</v>
      </c>
      <c r="M226" s="147" t="str">
        <f>CONCATENATE(F$2," ",L224)</f>
        <v>MPEG151-修改上下文 wukong</v>
      </c>
      <c r="N226" s="148" t="s">
        <v>53</v>
      </c>
      <c r="O226" s="2"/>
      <c r="P226" s="3" t="s">
        <v>44</v>
      </c>
    </row>
    <row r="227" spans="2:16" x14ac:dyDescent="0.25">
      <c r="B227" s="86" t="str">
        <f>B224</f>
        <v>wukong</v>
      </c>
      <c r="C227" s="93" t="s">
        <v>54</v>
      </c>
      <c r="D227" s="217" t="e">
        <f ca="1">0.000001*INDIRECT($B227&amp;"!E5")</f>
        <v>#VALUE!</v>
      </c>
      <c r="E227" s="216"/>
      <c r="F227" s="86" t="str">
        <f>F224</f>
        <v>wukong</v>
      </c>
      <c r="G227" s="93" t="s">
        <v>54</v>
      </c>
      <c r="H227" s="217" t="e">
        <f ca="1">0.000001*INDIRECT($B227&amp;"!AC5")</f>
        <v>#VALUE!</v>
      </c>
      <c r="J227" s="218" t="e">
        <f ca="1">H227/D227-1</f>
        <v>#VALUE!</v>
      </c>
      <c r="L227" s="65" t="str">
        <f ca="1">INDIRECT($B227&amp;"!"&amp;L$3&amp;"5")</f>
        <v/>
      </c>
      <c r="M227" s="66" t="str">
        <f ca="1">INDIRECT($B227&amp;"!"&amp;M$3&amp;"5")</f>
        <v/>
      </c>
      <c r="N227" s="67" t="e">
        <f ca="1">M227-L227</f>
        <v>#VALUE!</v>
      </c>
      <c r="O227" s="216"/>
      <c r="P227" s="218" t="e">
        <f ca="1">bdRateExtend(D227:D231,L227:L231,H227:H231,M227:M231)</f>
        <v>#VALUE!</v>
      </c>
    </row>
    <row r="228" spans="2:16" x14ac:dyDescent="0.25">
      <c r="B228" s="86" t="str">
        <f>B227</f>
        <v>wukong</v>
      </c>
      <c r="C228" s="93" t="s">
        <v>55</v>
      </c>
      <c r="D228" s="217" t="e">
        <f ca="1">0.000001*INDIRECT($B228&amp;"!E6")</f>
        <v>#VALUE!</v>
      </c>
      <c r="E228" s="216"/>
      <c r="F228" s="86" t="str">
        <f>F227</f>
        <v>wukong</v>
      </c>
      <c r="G228" s="93" t="s">
        <v>55</v>
      </c>
      <c r="H228" s="217" t="e">
        <f ca="1">0.000001*INDIRECT($B228&amp;"!AC6")</f>
        <v>#VALUE!</v>
      </c>
      <c r="J228" s="218" t="e">
        <f ca="1">H228/D228-1</f>
        <v>#VALUE!</v>
      </c>
      <c r="L228" s="65" t="str">
        <f ca="1">INDIRECT($B228&amp;"!"&amp;L$3&amp;"6")</f>
        <v/>
      </c>
      <c r="M228" s="66" t="str">
        <f ca="1">INDIRECT($B228&amp;"!"&amp;M$3&amp;"6")</f>
        <v/>
      </c>
      <c r="N228" s="67" t="e">
        <f ca="1">M228-L228</f>
        <v>#VALUE!</v>
      </c>
      <c r="O228" s="216"/>
      <c r="P228" s="3"/>
    </row>
    <row r="229" spans="2:16" x14ac:dyDescent="0.25">
      <c r="B229" s="86" t="str">
        <f>B228</f>
        <v>wukong</v>
      </c>
      <c r="C229" s="93" t="s">
        <v>56</v>
      </c>
      <c r="D229" s="217" t="e">
        <f ca="1">0.000001*INDIRECT($B229&amp;"!E7")</f>
        <v>#VALUE!</v>
      </c>
      <c r="E229" s="216"/>
      <c r="F229" s="86" t="str">
        <f>F228</f>
        <v>wukong</v>
      </c>
      <c r="G229" s="93" t="s">
        <v>56</v>
      </c>
      <c r="H229" s="217" t="e">
        <f ca="1">0.000001*INDIRECT($B229&amp;"!AC7")</f>
        <v>#VALUE!</v>
      </c>
      <c r="J229" s="218" t="e">
        <f ca="1">H229/D229-1</f>
        <v>#VALUE!</v>
      </c>
      <c r="L229" s="65" t="str">
        <f ca="1">INDIRECT($B229&amp;"!"&amp;L$3&amp;"7")</f>
        <v/>
      </c>
      <c r="M229" s="66" t="str">
        <f ca="1">INDIRECT($B229&amp;"!"&amp;M$3&amp;"7")</f>
        <v/>
      </c>
      <c r="N229" s="67" t="e">
        <f ca="1">M229-L229</f>
        <v>#VALUE!</v>
      </c>
      <c r="O229" s="216"/>
      <c r="P229" s="168"/>
    </row>
    <row r="230" spans="2:16" x14ac:dyDescent="0.25">
      <c r="B230" s="86" t="str">
        <f>B229</f>
        <v>wukong</v>
      </c>
      <c r="C230" s="93" t="s">
        <v>57</v>
      </c>
      <c r="D230" s="217" t="e">
        <f ca="1">0.000001*INDIRECT($B230&amp;"!E8")</f>
        <v>#VALUE!</v>
      </c>
      <c r="E230" s="216"/>
      <c r="F230" s="86" t="str">
        <f>F229</f>
        <v>wukong</v>
      </c>
      <c r="G230" s="93" t="s">
        <v>57</v>
      </c>
      <c r="H230" s="217" t="e">
        <f ca="1">0.000001*INDIRECT($B230&amp;"!AC8")</f>
        <v>#VALUE!</v>
      </c>
      <c r="J230" s="218" t="e">
        <f ca="1">H230/D230-1</f>
        <v>#VALUE!</v>
      </c>
      <c r="L230" s="65" t="str">
        <f ca="1">INDIRECT($B230&amp;"!"&amp;L$3&amp;"8")</f>
        <v/>
      </c>
      <c r="M230" s="66" t="str">
        <f ca="1">INDIRECT($B230&amp;"!"&amp;M$3&amp;"8")</f>
        <v/>
      </c>
      <c r="N230" s="67" t="e">
        <f ca="1">M230-L230</f>
        <v>#VALUE!</v>
      </c>
      <c r="O230" s="216"/>
      <c r="P230" s="225"/>
    </row>
    <row r="231" spans="2:16" ht="18" customHeight="1" thickBot="1" x14ac:dyDescent="0.3">
      <c r="B231" s="86" t="str">
        <f>B230</f>
        <v>wukong</v>
      </c>
      <c r="C231" s="93" t="s">
        <v>58</v>
      </c>
      <c r="D231" s="217" t="e">
        <f ca="1">0.000001*INDIRECT($B231&amp;"!E9")</f>
        <v>#VALUE!</v>
      </c>
      <c r="E231" s="216"/>
      <c r="F231" s="86" t="str">
        <f>F230</f>
        <v>wukong</v>
      </c>
      <c r="G231" s="93" t="s">
        <v>58</v>
      </c>
      <c r="H231" s="217" t="e">
        <f ca="1">0.000001*INDIRECT($B231&amp;"!AC9")</f>
        <v>#VALUE!</v>
      </c>
      <c r="J231" s="218" t="e">
        <f ca="1">H231/D231-1</f>
        <v>#VALUE!</v>
      </c>
      <c r="L231" s="65" t="str">
        <f ca="1">INDIRECT($B231&amp;"!"&amp;L$3&amp;"9")</f>
        <v/>
      </c>
      <c r="M231" s="66" t="str">
        <f ca="1">INDIRECT($B231&amp;"!"&amp;M$3&amp;"9")</f>
        <v/>
      </c>
      <c r="N231" s="67" t="e">
        <f ca="1">M231-L231</f>
        <v>#VALUE!</v>
      </c>
      <c r="O231" s="216"/>
      <c r="P231" s="221"/>
    </row>
    <row r="232" spans="2:16" x14ac:dyDescent="0.25">
      <c r="B232" s="80"/>
      <c r="C232" s="81"/>
      <c r="D232" s="222"/>
      <c r="F232" s="80"/>
      <c r="G232" s="81"/>
      <c r="H232" s="222"/>
      <c r="J232" s="69" t="e">
        <f ca="1">MIN(D227:D231,H227:H231)</f>
        <v>#VALUE!</v>
      </c>
      <c r="L232" s="70"/>
      <c r="M232" s="71"/>
      <c r="N232" s="72"/>
      <c r="O232" s="216"/>
      <c r="P232" s="205"/>
    </row>
    <row r="233" spans="2:16" ht="18" customHeight="1" thickBot="1" x14ac:dyDescent="0.3">
      <c r="B233" s="62"/>
      <c r="C233" s="63"/>
      <c r="D233" s="223"/>
      <c r="E233" s="216"/>
      <c r="F233" s="62"/>
      <c r="G233" s="63"/>
      <c r="H233" s="223"/>
      <c r="J233" s="73" t="e">
        <f ca="1">MAX(D227:D231,H227:H231)</f>
        <v>#VALUE!</v>
      </c>
      <c r="L233" s="74">
        <f>L232</f>
        <v>0</v>
      </c>
      <c r="M233" s="75">
        <f>M232</f>
        <v>0</v>
      </c>
      <c r="N233" s="68"/>
      <c r="O233" s="216"/>
      <c r="P233" s="5"/>
    </row>
  </sheetData>
  <mergeCells count="159">
    <mergeCell ref="B2:D2"/>
    <mergeCell ref="X4:Z4"/>
    <mergeCell ref="L158:N158"/>
    <mergeCell ref="B225:C225"/>
    <mergeCell ref="B181:C181"/>
    <mergeCell ref="B15:D15"/>
    <mergeCell ref="F48:H48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59:H59"/>
    <mergeCell ref="F15:H15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F224:H224"/>
    <mergeCell ref="B71:C71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F203:G203"/>
    <mergeCell ref="L81:N81"/>
    <mergeCell ref="F181:G181"/>
    <mergeCell ref="F37:H37"/>
    <mergeCell ref="L148:N148"/>
    <mergeCell ref="X81:Z81"/>
    <mergeCell ref="R93:T93"/>
    <mergeCell ref="L27:N27"/>
    <mergeCell ref="L203:N203"/>
    <mergeCell ref="X71:Z71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workbookViewId="0">
      <selection activeCell="Q19" sqref="Q19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796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8" width="9.19921875" style="207" customWidth="1"/>
    <col min="29" max="29" width="10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19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bartender_track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bartender_track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>
        <f>E23</f>
        <v>4727994</v>
      </c>
      <c r="F5" s="84">
        <f t="shared" ref="F5:K9" si="0">IF(ISBLANK(F33),"",F33)</f>
        <v>30.738500000000009</v>
      </c>
      <c r="G5" s="84">
        <f t="shared" si="0"/>
        <v>32.44619999999999</v>
      </c>
      <c r="H5" s="84">
        <f t="shared" si="0"/>
        <v>0.95844761904761933</v>
      </c>
      <c r="I5" s="84">
        <f t="shared" si="0"/>
        <v>0</v>
      </c>
      <c r="J5" s="84">
        <f t="shared" si="0"/>
        <v>0</v>
      </c>
      <c r="K5" s="84">
        <f t="shared" si="0"/>
        <v>0</v>
      </c>
      <c r="L5" s="49"/>
      <c r="M5" s="49"/>
      <c r="N5" s="20"/>
      <c r="O5" s="50"/>
      <c r="P5" s="107">
        <f t="shared" ref="P5:W9" si="1">IF(ISBLANK(P16),"",P16)</f>
        <v>33.454999999999998</v>
      </c>
      <c r="Q5" s="125">
        <f t="shared" si="1"/>
        <v>11.779</v>
      </c>
      <c r="R5" s="107">
        <f t="shared" si="1"/>
        <v>17.308</v>
      </c>
      <c r="S5" s="125">
        <f t="shared" si="1"/>
        <v>0.46600000000000003</v>
      </c>
      <c r="T5" s="107">
        <f t="shared" si="1"/>
        <v>31.199000000000002</v>
      </c>
      <c r="U5" s="125">
        <f t="shared" si="1"/>
        <v>11.711</v>
      </c>
      <c r="V5" s="107">
        <f t="shared" si="1"/>
        <v>682956</v>
      </c>
      <c r="W5" s="125">
        <f t="shared" si="1"/>
        <v>404548</v>
      </c>
      <c r="X5" s="109">
        <f>IF(ISBLANK(X33),"",X33)</f>
        <v>1140.3920000000001</v>
      </c>
      <c r="Y5" s="209"/>
      <c r="Z5" s="270"/>
      <c r="AA5" s="19" t="s">
        <v>54</v>
      </c>
      <c r="AB5" s="20"/>
      <c r="AC5" s="104">
        <f>AC23</f>
        <v>4725189</v>
      </c>
      <c r="AD5" s="24">
        <f t="shared" ref="AD5:AI9" si="2">IF(ISBLANK(AD33),"",AD33)</f>
        <v>30.738489229999999</v>
      </c>
      <c r="AE5" s="24">
        <f t="shared" si="2"/>
        <v>32.446208179999999</v>
      </c>
      <c r="AF5" s="24">
        <f t="shared" si="2"/>
        <v>0.95844887999999995</v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>
        <f t="shared" ref="AN5:AU9" si="3">IF(ISBLANK(AN16),"",AN16)</f>
        <v>52.985999999999997</v>
      </c>
      <c r="AO5" s="125">
        <f t="shared" si="3"/>
        <v>15.143000000000001</v>
      </c>
      <c r="AP5" s="107">
        <f t="shared" si="3"/>
        <v>30.943000000000001</v>
      </c>
      <c r="AQ5" s="125">
        <f t="shared" si="3"/>
        <v>0.93700000000000006</v>
      </c>
      <c r="AR5" s="107">
        <f t="shared" si="3"/>
        <v>17.242000000000001</v>
      </c>
      <c r="AS5" s="125">
        <f t="shared" si="3"/>
        <v>14.116</v>
      </c>
      <c r="AT5" s="107">
        <f t="shared" si="3"/>
        <v>1215916</v>
      </c>
      <c r="AU5" s="125">
        <f t="shared" si="3"/>
        <v>403016</v>
      </c>
      <c r="AV5" s="109" t="str">
        <f>IF(ISBLANK(AV33),"",AV33)</f>
        <v/>
      </c>
      <c r="AW5" s="88"/>
      <c r="AX5" s="131"/>
      <c r="AY5" s="234">
        <f>bdRateExtend($E5:$E9,F5:F9,$AC5:$AC9,AD5:AD9)</f>
        <v>-3.3899919967395054E-4</v>
      </c>
      <c r="AZ5" s="234">
        <f>bdRateExtend($E5:$E9,G5:G9,$AC5:$AC9,AE5:AE9)</f>
        <v>-3.3909660687636567E-4</v>
      </c>
      <c r="BA5" s="234">
        <f>bdRateExtend($E5:$E9,H5:H9,$AC5:$AC9,AF5:AF9)</f>
        <v>-5.5196712619287602E-4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>
        <f>E24</f>
        <v>6994607</v>
      </c>
      <c r="F6" s="84">
        <f t="shared" si="0"/>
        <v>33.326747619047623</v>
      </c>
      <c r="G6" s="84">
        <f t="shared" si="0"/>
        <v>36.293133333333337</v>
      </c>
      <c r="H6" s="84">
        <f t="shared" si="0"/>
        <v>0.97736666666666649</v>
      </c>
      <c r="I6" s="84">
        <f t="shared" si="0"/>
        <v>0</v>
      </c>
      <c r="J6" s="84">
        <f t="shared" si="0"/>
        <v>0</v>
      </c>
      <c r="K6" s="84">
        <f t="shared" si="0"/>
        <v>0</v>
      </c>
      <c r="L6" s="50"/>
      <c r="M6" s="50"/>
      <c r="N6" s="22"/>
      <c r="O6" s="50"/>
      <c r="P6" s="107">
        <f t="shared" si="1"/>
        <v>33.521999999999998</v>
      </c>
      <c r="Q6" s="107">
        <f t="shared" si="1"/>
        <v>11.571999999999999</v>
      </c>
      <c r="R6" s="107">
        <f t="shared" si="1"/>
        <v>17.096</v>
      </c>
      <c r="S6" s="107">
        <f t="shared" si="1"/>
        <v>0.47599999999999998</v>
      </c>
      <c r="T6" s="107">
        <f t="shared" si="1"/>
        <v>31.240000000000009</v>
      </c>
      <c r="U6" s="107">
        <f t="shared" si="1"/>
        <v>11.510999999999999</v>
      </c>
      <c r="V6" s="107">
        <f t="shared" si="1"/>
        <v>682928</v>
      </c>
      <c r="W6" s="107">
        <f t="shared" si="1"/>
        <v>404528</v>
      </c>
      <c r="X6" s="109">
        <f>IF(ISBLANK(X34),"",X34)</f>
        <v>1171.3920000000001</v>
      </c>
      <c r="Y6" s="209"/>
      <c r="Z6" s="271"/>
      <c r="AA6" s="21" t="s">
        <v>55</v>
      </c>
      <c r="AB6" s="22"/>
      <c r="AC6" s="129">
        <f>AC24</f>
        <v>6991802</v>
      </c>
      <c r="AD6" s="84">
        <f t="shared" si="2"/>
        <v>33.326761699999999</v>
      </c>
      <c r="AE6" s="84">
        <f t="shared" si="2"/>
        <v>36.293138929999998</v>
      </c>
      <c r="AF6" s="84">
        <f t="shared" si="2"/>
        <v>0.97736822000000001</v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>
        <f t="shared" si="3"/>
        <v>53.567</v>
      </c>
      <c r="AO6" s="107">
        <f t="shared" si="3"/>
        <v>15.353</v>
      </c>
      <c r="AP6" s="107">
        <f t="shared" si="3"/>
        <v>30.823</v>
      </c>
      <c r="AQ6" s="107">
        <f t="shared" si="3"/>
        <v>0.92700000000000005</v>
      </c>
      <c r="AR6" s="107">
        <f t="shared" si="3"/>
        <v>17.524000000000001</v>
      </c>
      <c r="AS6" s="107">
        <f t="shared" si="3"/>
        <v>14.343999999999999</v>
      </c>
      <c r="AT6" s="107">
        <f t="shared" si="3"/>
        <v>1211992</v>
      </c>
      <c r="AU6" s="107">
        <f t="shared" si="3"/>
        <v>404124</v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>
        <f>E25</f>
        <v>10471855</v>
      </c>
      <c r="F7" s="84">
        <f t="shared" si="0"/>
        <v>35.891647619047617</v>
      </c>
      <c r="G7" s="84">
        <f t="shared" si="0"/>
        <v>40.74299523809524</v>
      </c>
      <c r="H7" s="84">
        <f t="shared" si="0"/>
        <v>0.99001904761904758</v>
      </c>
      <c r="I7" s="84">
        <f t="shared" si="0"/>
        <v>0</v>
      </c>
      <c r="J7" s="84">
        <f t="shared" si="0"/>
        <v>0</v>
      </c>
      <c r="K7" s="84">
        <f t="shared" si="0"/>
        <v>0</v>
      </c>
      <c r="L7" s="50"/>
      <c r="M7" s="50"/>
      <c r="N7" s="22"/>
      <c r="O7" s="50"/>
      <c r="P7" s="107">
        <f t="shared" si="1"/>
        <v>34.116999999999997</v>
      </c>
      <c r="Q7" s="107">
        <f t="shared" si="1"/>
        <v>12.22</v>
      </c>
      <c r="R7" s="107">
        <f t="shared" si="1"/>
        <v>17.120999999999999</v>
      </c>
      <c r="S7" s="107">
        <f t="shared" si="1"/>
        <v>0.46200000000000002</v>
      </c>
      <c r="T7" s="107">
        <f t="shared" si="1"/>
        <v>31.901</v>
      </c>
      <c r="U7" s="107">
        <f t="shared" si="1"/>
        <v>12.157</v>
      </c>
      <c r="V7" s="107">
        <f t="shared" si="1"/>
        <v>682960</v>
      </c>
      <c r="W7" s="107">
        <f t="shared" si="1"/>
        <v>404716</v>
      </c>
      <c r="X7" s="109">
        <f>IF(ISBLANK(X35),"",X35)</f>
        <v>1173.394</v>
      </c>
      <c r="Y7" s="209"/>
      <c r="Z7" s="271"/>
      <c r="AA7" s="21" t="s">
        <v>56</v>
      </c>
      <c r="AB7" s="22"/>
      <c r="AC7" s="129">
        <f>AC25</f>
        <v>10469050</v>
      </c>
      <c r="AD7" s="84">
        <f t="shared" si="2"/>
        <v>35.891653679999997</v>
      </c>
      <c r="AE7" s="84">
        <f t="shared" si="2"/>
        <v>40.742995610000001</v>
      </c>
      <c r="AF7" s="84">
        <f t="shared" si="2"/>
        <v>0.99001956000000002</v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>
        <f t="shared" si="3"/>
        <v>55.325000000000003</v>
      </c>
      <c r="AO7" s="107">
        <f t="shared" si="3"/>
        <v>15.856999999999999</v>
      </c>
      <c r="AP7" s="107">
        <f t="shared" si="3"/>
        <v>31.344999999999999</v>
      </c>
      <c r="AQ7" s="107">
        <f t="shared" si="3"/>
        <v>0.93600000000000005</v>
      </c>
      <c r="AR7" s="107">
        <f t="shared" si="3"/>
        <v>18.981000000000009</v>
      </c>
      <c r="AS7" s="107">
        <f t="shared" si="3"/>
        <v>14.827</v>
      </c>
      <c r="AT7" s="107">
        <f t="shared" si="3"/>
        <v>1213264</v>
      </c>
      <c r="AU7" s="107">
        <f t="shared" si="3"/>
        <v>402932</v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>
        <f>E26</f>
        <v>15070107</v>
      </c>
      <c r="F8" s="84">
        <f t="shared" si="0"/>
        <v>37.737238095238098</v>
      </c>
      <c r="G8" s="84">
        <f t="shared" si="0"/>
        <v>43.845704761904763</v>
      </c>
      <c r="H8" s="84">
        <f t="shared" si="0"/>
        <v>0.99490000000000023</v>
      </c>
      <c r="I8" s="84">
        <f t="shared" si="0"/>
        <v>0</v>
      </c>
      <c r="J8" s="84">
        <f t="shared" si="0"/>
        <v>0</v>
      </c>
      <c r="K8" s="84">
        <f t="shared" si="0"/>
        <v>0</v>
      </c>
      <c r="L8" s="50"/>
      <c r="M8" s="50"/>
      <c r="N8" s="22"/>
      <c r="O8" s="50"/>
      <c r="P8" s="107">
        <f t="shared" si="1"/>
        <v>34.338000000000001</v>
      </c>
      <c r="Q8" s="107">
        <f t="shared" si="1"/>
        <v>12.39</v>
      </c>
      <c r="R8" s="107">
        <f t="shared" si="1"/>
        <v>17.155000000000001</v>
      </c>
      <c r="S8" s="107">
        <f t="shared" si="1"/>
        <v>0.49199999999999999</v>
      </c>
      <c r="T8" s="107">
        <f t="shared" si="1"/>
        <v>32.066000000000003</v>
      </c>
      <c r="U8" s="107">
        <f t="shared" si="1"/>
        <v>12.321</v>
      </c>
      <c r="V8" s="107">
        <f t="shared" si="1"/>
        <v>683036</v>
      </c>
      <c r="W8" s="107">
        <f t="shared" si="1"/>
        <v>404676</v>
      </c>
      <c r="X8" s="109">
        <f>IF(ISBLANK(X36),"",X36)</f>
        <v>1179.567</v>
      </c>
      <c r="Y8" s="209"/>
      <c r="Z8" s="271"/>
      <c r="AA8" s="21" t="s">
        <v>57</v>
      </c>
      <c r="AB8" s="22"/>
      <c r="AC8" s="129">
        <f>AC26</f>
        <v>15067302</v>
      </c>
      <c r="AD8" s="84">
        <f t="shared" si="2"/>
        <v>37.737239559999999</v>
      </c>
      <c r="AE8" s="84">
        <f t="shared" si="2"/>
        <v>43.84570222</v>
      </c>
      <c r="AF8" s="84">
        <f t="shared" si="2"/>
        <v>0.99491110000000005</v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>
        <f t="shared" si="3"/>
        <v>54.210999999999999</v>
      </c>
      <c r="AO8" s="107">
        <f t="shared" si="3"/>
        <v>16.215</v>
      </c>
      <c r="AP8" s="107">
        <f t="shared" si="3"/>
        <v>30.673999999999999</v>
      </c>
      <c r="AQ8" s="107">
        <f t="shared" si="3"/>
        <v>0.93500000000000005</v>
      </c>
      <c r="AR8" s="107">
        <f t="shared" si="3"/>
        <v>18.696000000000002</v>
      </c>
      <c r="AS8" s="107">
        <f t="shared" si="3"/>
        <v>15.186</v>
      </c>
      <c r="AT8" s="107">
        <f t="shared" si="3"/>
        <v>1210872</v>
      </c>
      <c r="AU8" s="107">
        <f t="shared" si="3"/>
        <v>404252</v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>
        <f>E27</f>
        <v>19405922</v>
      </c>
      <c r="F9" s="28">
        <f t="shared" si="0"/>
        <v>38.752842857142852</v>
      </c>
      <c r="G9" s="28">
        <f t="shared" si="0"/>
        <v>45.015971428571433</v>
      </c>
      <c r="H9" s="28">
        <f t="shared" si="0"/>
        <v>0.99611904761904757</v>
      </c>
      <c r="I9" s="28">
        <f t="shared" si="0"/>
        <v>0</v>
      </c>
      <c r="J9" s="28">
        <f t="shared" si="0"/>
        <v>0</v>
      </c>
      <c r="K9" s="28">
        <f t="shared" si="0"/>
        <v>0</v>
      </c>
      <c r="L9" s="50"/>
      <c r="M9" s="50"/>
      <c r="N9" s="22"/>
      <c r="O9" s="50"/>
      <c r="P9" s="107">
        <f t="shared" si="1"/>
        <v>35.307000000000002</v>
      </c>
      <c r="Q9" s="107">
        <f t="shared" si="1"/>
        <v>13.103</v>
      </c>
      <c r="R9" s="107">
        <f t="shared" si="1"/>
        <v>17.425999999999998</v>
      </c>
      <c r="S9" s="107">
        <f t="shared" si="1"/>
        <v>0.46700000000000003</v>
      </c>
      <c r="T9" s="107">
        <f t="shared" si="1"/>
        <v>33.013000000000012</v>
      </c>
      <c r="U9" s="107">
        <f t="shared" si="1"/>
        <v>13.02600000000001</v>
      </c>
      <c r="V9" s="107">
        <f t="shared" si="1"/>
        <v>682928</v>
      </c>
      <c r="W9" s="107">
        <f t="shared" si="1"/>
        <v>406088</v>
      </c>
      <c r="X9" s="109">
        <f>IF(ISBLANK(X37),"",X37)</f>
        <v>1186.114</v>
      </c>
      <c r="Y9" s="209"/>
      <c r="Z9" s="271"/>
      <c r="AA9" s="21" t="s">
        <v>58</v>
      </c>
      <c r="AB9" s="22"/>
      <c r="AC9" s="129">
        <f>AC27</f>
        <v>19403117</v>
      </c>
      <c r="AD9" s="84">
        <f t="shared" si="2"/>
        <v>38.752838400000002</v>
      </c>
      <c r="AE9" s="84">
        <f t="shared" si="2"/>
        <v>45.015964480000001</v>
      </c>
      <c r="AF9" s="84">
        <f t="shared" si="2"/>
        <v>0.99612946999999996</v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>
        <f t="shared" si="3"/>
        <v>54.543999999999997</v>
      </c>
      <c r="AO9" s="107">
        <f t="shared" si="3"/>
        <v>17.227</v>
      </c>
      <c r="AP9" s="107">
        <f t="shared" si="3"/>
        <v>30.792000000000002</v>
      </c>
      <c r="AQ9" s="107">
        <f t="shared" si="3"/>
        <v>0.94</v>
      </c>
      <c r="AR9" s="107">
        <f t="shared" si="3"/>
        <v>18.893000000000001</v>
      </c>
      <c r="AS9" s="107">
        <f t="shared" si="3"/>
        <v>16.177</v>
      </c>
      <c r="AT9" s="107">
        <f t="shared" si="3"/>
        <v>1215924</v>
      </c>
      <c r="AU9" s="107">
        <f t="shared" si="3"/>
        <v>401948</v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110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>
        <v>714628</v>
      </c>
      <c r="F16" s="106">
        <v>956567</v>
      </c>
      <c r="G16" s="138">
        <v>177914</v>
      </c>
      <c r="H16" s="138">
        <v>73122</v>
      </c>
      <c r="I16" s="138">
        <v>171606</v>
      </c>
      <c r="J16" s="138">
        <v>1429354</v>
      </c>
      <c r="K16" s="54">
        <v>899053</v>
      </c>
      <c r="L16" s="54">
        <v>305750</v>
      </c>
      <c r="M16" s="54"/>
      <c r="N16" s="49"/>
      <c r="O16" s="245"/>
      <c r="P16" s="152">
        <v>33.454999999999998</v>
      </c>
      <c r="Q16" s="152">
        <v>11.779</v>
      </c>
      <c r="R16" s="152">
        <v>17.308</v>
      </c>
      <c r="S16" s="152">
        <v>0.46600000000000003</v>
      </c>
      <c r="T16" s="152">
        <v>31.199000000000002</v>
      </c>
      <c r="U16" s="152">
        <v>11.711</v>
      </c>
      <c r="V16" s="152">
        <v>682956</v>
      </c>
      <c r="W16" s="152">
        <v>404548</v>
      </c>
      <c r="X16" s="118"/>
      <c r="Y16" s="209"/>
      <c r="Z16" s="285"/>
      <c r="AA16" s="19" t="s">
        <v>54</v>
      </c>
      <c r="AB16" s="20"/>
      <c r="AC16" s="106">
        <v>711823</v>
      </c>
      <c r="AD16" s="106">
        <v>956567</v>
      </c>
      <c r="AE16" s="138">
        <v>177914</v>
      </c>
      <c r="AF16" s="138">
        <v>73122</v>
      </c>
      <c r="AG16" s="138">
        <v>171606</v>
      </c>
      <c r="AH16" s="138">
        <v>1429354</v>
      </c>
      <c r="AI16" s="54">
        <v>899053</v>
      </c>
      <c r="AJ16" s="54">
        <v>305750</v>
      </c>
      <c r="AK16" s="54">
        <v>980</v>
      </c>
      <c r="AL16" s="49"/>
      <c r="AM16" s="245"/>
      <c r="AN16" s="152">
        <v>52.985999999999997</v>
      </c>
      <c r="AO16" s="152">
        <v>15.143000000000001</v>
      </c>
      <c r="AP16" s="152">
        <v>30.943000000000001</v>
      </c>
      <c r="AQ16" s="152">
        <v>0.93700000000000006</v>
      </c>
      <c r="AR16" s="152">
        <v>17.242000000000001</v>
      </c>
      <c r="AS16" s="152">
        <v>14.116</v>
      </c>
      <c r="AT16" s="152">
        <v>1215916</v>
      </c>
      <c r="AU16" s="152">
        <v>403016</v>
      </c>
      <c r="AV16" s="118"/>
      <c r="AW16" s="88"/>
      <c r="AX16" s="155">
        <f t="shared" ref="AX16:BE19" si="4">AN16/P16</f>
        <v>1.5837991331639516</v>
      </c>
      <c r="AY16" s="194">
        <f t="shared" si="4"/>
        <v>1.2855930044995332</v>
      </c>
      <c r="AZ16" s="155">
        <f t="shared" si="4"/>
        <v>1.787785994915646</v>
      </c>
      <c r="BA16" s="194">
        <f t="shared" si="4"/>
        <v>2.0107296137339055</v>
      </c>
      <c r="BB16" s="155">
        <f t="shared" si="4"/>
        <v>0.55264591813840191</v>
      </c>
      <c r="BC16" s="194">
        <f t="shared" si="4"/>
        <v>1.2053624797199214</v>
      </c>
      <c r="BD16" s="155">
        <f t="shared" si="4"/>
        <v>1.7803723812368586</v>
      </c>
      <c r="BE16" s="194">
        <f t="shared" si="4"/>
        <v>0.99621305753581779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>
        <v>714628</v>
      </c>
      <c r="F17" s="119">
        <v>1267061</v>
      </c>
      <c r="G17" s="139">
        <v>522266</v>
      </c>
      <c r="H17" s="139">
        <v>311315</v>
      </c>
      <c r="I17" s="139">
        <v>708633</v>
      </c>
      <c r="J17" s="139">
        <v>1850959</v>
      </c>
      <c r="K17" s="55">
        <v>1212049</v>
      </c>
      <c r="L17" s="55">
        <v>407696</v>
      </c>
      <c r="M17" s="55"/>
      <c r="N17" s="50"/>
      <c r="O17" s="233"/>
      <c r="P17" s="153">
        <v>33.521999999999998</v>
      </c>
      <c r="Q17" s="153">
        <v>11.571999999999999</v>
      </c>
      <c r="R17" s="153">
        <v>17.096</v>
      </c>
      <c r="S17" s="153">
        <v>0.47599999999999998</v>
      </c>
      <c r="T17" s="153">
        <v>31.240000000000009</v>
      </c>
      <c r="U17" s="153">
        <v>11.510999999999999</v>
      </c>
      <c r="V17" s="153">
        <v>682928</v>
      </c>
      <c r="W17" s="153">
        <v>404528</v>
      </c>
      <c r="X17" s="120"/>
      <c r="Y17" s="209"/>
      <c r="Z17" s="271"/>
      <c r="AA17" s="21" t="s">
        <v>55</v>
      </c>
      <c r="AB17" s="22"/>
      <c r="AC17" s="119">
        <v>711823</v>
      </c>
      <c r="AD17" s="119">
        <v>1267061</v>
      </c>
      <c r="AE17" s="139">
        <v>522266</v>
      </c>
      <c r="AF17" s="139">
        <v>311315</v>
      </c>
      <c r="AG17" s="139">
        <v>708633</v>
      </c>
      <c r="AH17" s="139">
        <v>1850959</v>
      </c>
      <c r="AI17" s="55">
        <v>1212049</v>
      </c>
      <c r="AJ17" s="55">
        <v>407696</v>
      </c>
      <c r="AK17" s="55">
        <v>979</v>
      </c>
      <c r="AL17" s="50"/>
      <c r="AM17" s="233"/>
      <c r="AN17" s="153">
        <v>53.567</v>
      </c>
      <c r="AO17" s="153">
        <v>15.353</v>
      </c>
      <c r="AP17" s="153">
        <v>30.823</v>
      </c>
      <c r="AQ17" s="153">
        <v>0.92700000000000005</v>
      </c>
      <c r="AR17" s="153">
        <v>17.524000000000001</v>
      </c>
      <c r="AS17" s="153">
        <v>14.343999999999999</v>
      </c>
      <c r="AT17" s="153">
        <v>1211992</v>
      </c>
      <c r="AU17" s="153">
        <v>404124</v>
      </c>
      <c r="AV17" s="120"/>
      <c r="AW17" s="88"/>
      <c r="AX17" s="156">
        <f t="shared" si="4"/>
        <v>1.5979655151840584</v>
      </c>
      <c r="AY17" s="157">
        <f t="shared" si="4"/>
        <v>1.3267369512616662</v>
      </c>
      <c r="AZ17" s="156">
        <f t="shared" si="4"/>
        <v>1.8029363593823116</v>
      </c>
      <c r="BA17" s="157">
        <f t="shared" si="4"/>
        <v>1.9474789915966388</v>
      </c>
      <c r="BB17" s="156">
        <f t="shared" si="4"/>
        <v>0.56094750320102416</v>
      </c>
      <c r="BC17" s="157">
        <f t="shared" si="4"/>
        <v>1.2461124142124924</v>
      </c>
      <c r="BD17" s="156">
        <f t="shared" si="4"/>
        <v>1.7746995290865215</v>
      </c>
      <c r="BE17" s="157">
        <f t="shared" si="4"/>
        <v>0.99900130522485464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>
        <v>714628</v>
      </c>
      <c r="F18" s="119">
        <v>1589969</v>
      </c>
      <c r="G18" s="139">
        <v>1108988</v>
      </c>
      <c r="H18" s="139">
        <v>849532</v>
      </c>
      <c r="I18" s="139">
        <v>1872269</v>
      </c>
      <c r="J18" s="139">
        <v>2286687</v>
      </c>
      <c r="K18" s="55">
        <v>1536339</v>
      </c>
      <c r="L18" s="55">
        <v>513443</v>
      </c>
      <c r="M18" s="55"/>
      <c r="N18" s="50"/>
      <c r="O18" s="233"/>
      <c r="P18" s="153">
        <v>34.116999999999997</v>
      </c>
      <c r="Q18" s="153">
        <v>12.22</v>
      </c>
      <c r="R18" s="153">
        <v>17.120999999999999</v>
      </c>
      <c r="S18" s="153">
        <v>0.46200000000000002</v>
      </c>
      <c r="T18" s="153">
        <v>31.901</v>
      </c>
      <c r="U18" s="153">
        <v>12.157</v>
      </c>
      <c r="V18" s="153">
        <v>682960</v>
      </c>
      <c r="W18" s="153">
        <v>404716</v>
      </c>
      <c r="X18" s="120"/>
      <c r="Y18" s="209"/>
      <c r="Z18" s="271"/>
      <c r="AA18" s="21" t="s">
        <v>56</v>
      </c>
      <c r="AB18" s="22"/>
      <c r="AC18" s="119">
        <v>711823</v>
      </c>
      <c r="AD18" s="119">
        <v>1589969</v>
      </c>
      <c r="AE18" s="139">
        <v>1108988</v>
      </c>
      <c r="AF18" s="139">
        <v>849532</v>
      </c>
      <c r="AG18" s="139">
        <v>1872269</v>
      </c>
      <c r="AH18" s="139">
        <v>2286687</v>
      </c>
      <c r="AI18" s="55">
        <v>1536339</v>
      </c>
      <c r="AJ18" s="55">
        <v>513443</v>
      </c>
      <c r="AK18" s="55">
        <v>977</v>
      </c>
      <c r="AL18" s="50"/>
      <c r="AM18" s="233"/>
      <c r="AN18" s="153">
        <v>55.325000000000003</v>
      </c>
      <c r="AO18" s="153">
        <v>15.856999999999999</v>
      </c>
      <c r="AP18" s="153">
        <v>31.344999999999999</v>
      </c>
      <c r="AQ18" s="153">
        <v>0.93600000000000005</v>
      </c>
      <c r="AR18" s="153">
        <v>18.981000000000009</v>
      </c>
      <c r="AS18" s="153">
        <v>14.827</v>
      </c>
      <c r="AT18" s="153">
        <v>1213264</v>
      </c>
      <c r="AU18" s="153">
        <v>402932</v>
      </c>
      <c r="AV18" s="120"/>
      <c r="AW18" s="88"/>
      <c r="AX18" s="156">
        <f t="shared" si="4"/>
        <v>1.6216255825541521</v>
      </c>
      <c r="AY18" s="157">
        <f t="shared" si="4"/>
        <v>1.2976268412438623</v>
      </c>
      <c r="AZ18" s="156">
        <f t="shared" si="4"/>
        <v>1.8307925938905438</v>
      </c>
      <c r="BA18" s="157">
        <f t="shared" si="4"/>
        <v>2.0259740259740262</v>
      </c>
      <c r="BB18" s="156">
        <f t="shared" si="4"/>
        <v>0.59499702203692706</v>
      </c>
      <c r="BC18" s="157">
        <f t="shared" si="4"/>
        <v>1.2196265526034384</v>
      </c>
      <c r="BD18" s="156">
        <f t="shared" si="4"/>
        <v>1.776478856741244</v>
      </c>
      <c r="BE18" s="157">
        <f t="shared" si="4"/>
        <v>0.99559197066584959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>
        <v>714628</v>
      </c>
      <c r="F19" s="119">
        <v>1811154</v>
      </c>
      <c r="G19" s="139">
        <v>1889634</v>
      </c>
      <c r="H19" s="139">
        <v>1710269</v>
      </c>
      <c r="I19" s="139">
        <v>3704275</v>
      </c>
      <c r="J19" s="139">
        <v>2739396</v>
      </c>
      <c r="K19" s="55">
        <v>1876296</v>
      </c>
      <c r="L19" s="55">
        <v>624455</v>
      </c>
      <c r="M19" s="55"/>
      <c r="N19" s="50"/>
      <c r="O19" s="233"/>
      <c r="P19" s="153">
        <v>34.338000000000001</v>
      </c>
      <c r="Q19" s="153">
        <v>12.39</v>
      </c>
      <c r="R19" s="153">
        <v>17.155000000000001</v>
      </c>
      <c r="S19" s="153">
        <v>0.49199999999999999</v>
      </c>
      <c r="T19" s="153">
        <v>32.066000000000003</v>
      </c>
      <c r="U19" s="153">
        <v>12.321</v>
      </c>
      <c r="V19" s="153">
        <v>683036</v>
      </c>
      <c r="W19" s="153">
        <v>404676</v>
      </c>
      <c r="X19" s="120"/>
      <c r="Y19" s="209"/>
      <c r="Z19" s="271"/>
      <c r="AA19" s="21" t="s">
        <v>57</v>
      </c>
      <c r="AB19" s="22"/>
      <c r="AC19" s="119">
        <v>711823</v>
      </c>
      <c r="AD19" s="119">
        <v>1811154</v>
      </c>
      <c r="AE19" s="139">
        <v>1889634</v>
      </c>
      <c r="AF19" s="139">
        <v>1710269</v>
      </c>
      <c r="AG19" s="139">
        <v>3704275</v>
      </c>
      <c r="AH19" s="139">
        <v>2739396</v>
      </c>
      <c r="AI19" s="55">
        <v>1876296</v>
      </c>
      <c r="AJ19" s="55">
        <v>624455</v>
      </c>
      <c r="AK19" s="55">
        <v>961</v>
      </c>
      <c r="AL19" s="50"/>
      <c r="AM19" s="233"/>
      <c r="AN19" s="153">
        <v>54.210999999999999</v>
      </c>
      <c r="AO19" s="153">
        <v>16.215</v>
      </c>
      <c r="AP19" s="153">
        <v>30.673999999999999</v>
      </c>
      <c r="AQ19" s="153">
        <v>0.93500000000000005</v>
      </c>
      <c r="AR19" s="153">
        <v>18.696000000000002</v>
      </c>
      <c r="AS19" s="153">
        <v>15.186</v>
      </c>
      <c r="AT19" s="153">
        <v>1210872</v>
      </c>
      <c r="AU19" s="153">
        <v>404252</v>
      </c>
      <c r="AV19" s="120"/>
      <c r="AW19" s="88"/>
      <c r="AX19" s="156">
        <f t="shared" si="4"/>
        <v>1.5787465781350107</v>
      </c>
      <c r="AY19" s="157">
        <f t="shared" si="4"/>
        <v>1.3087167070217918</v>
      </c>
      <c r="AZ19" s="156">
        <f t="shared" si="4"/>
        <v>1.7880501311570969</v>
      </c>
      <c r="BA19" s="157">
        <f t="shared" si="4"/>
        <v>1.9004065040650409</v>
      </c>
      <c r="BB19" s="156">
        <f t="shared" si="4"/>
        <v>0.58304746460425372</v>
      </c>
      <c r="BC19" s="157">
        <f t="shared" si="4"/>
        <v>1.2325298271244218</v>
      </c>
      <c r="BD19" s="156">
        <f t="shared" si="4"/>
        <v>1.7727791800139379</v>
      </c>
      <c r="BE19" s="157">
        <f t="shared" si="4"/>
        <v>0.99895224821832773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>
        <v>714628</v>
      </c>
      <c r="F20" s="171">
        <v>1899296</v>
      </c>
      <c r="G20" s="139">
        <v>2449440</v>
      </c>
      <c r="H20" s="139">
        <v>2606089</v>
      </c>
      <c r="I20" s="139">
        <v>5569816</v>
      </c>
      <c r="J20" s="139">
        <v>3201939</v>
      </c>
      <c r="K20" s="55">
        <v>2225831</v>
      </c>
      <c r="L20" s="55">
        <v>738883</v>
      </c>
      <c r="M20" s="55"/>
      <c r="N20" s="50"/>
      <c r="O20" s="233"/>
      <c r="P20" s="153">
        <v>35.307000000000002</v>
      </c>
      <c r="Q20" s="153">
        <v>13.103</v>
      </c>
      <c r="R20" s="153">
        <v>17.425999999999998</v>
      </c>
      <c r="S20" s="153">
        <v>0.46700000000000003</v>
      </c>
      <c r="T20" s="153">
        <v>33.013000000000012</v>
      </c>
      <c r="U20" s="153">
        <v>13.02600000000001</v>
      </c>
      <c r="V20" s="153">
        <v>682928</v>
      </c>
      <c r="W20" s="153">
        <v>406088</v>
      </c>
      <c r="X20" s="121"/>
      <c r="Y20" s="209"/>
      <c r="Z20" s="271"/>
      <c r="AA20" s="23" t="s">
        <v>58</v>
      </c>
      <c r="AB20" s="31"/>
      <c r="AC20" s="171">
        <v>711823</v>
      </c>
      <c r="AD20" s="171">
        <v>1899296</v>
      </c>
      <c r="AE20" s="139">
        <v>2449440</v>
      </c>
      <c r="AF20" s="139">
        <v>2606089</v>
      </c>
      <c r="AG20" s="139">
        <v>5569816</v>
      </c>
      <c r="AH20" s="139">
        <v>3201939</v>
      </c>
      <c r="AI20" s="55">
        <v>2225831</v>
      </c>
      <c r="AJ20" s="55">
        <v>738883</v>
      </c>
      <c r="AK20" s="55">
        <v>948</v>
      </c>
      <c r="AL20" s="50"/>
      <c r="AM20" s="233"/>
      <c r="AN20" s="153">
        <v>54.543999999999997</v>
      </c>
      <c r="AO20" s="153">
        <v>17.227</v>
      </c>
      <c r="AP20" s="153">
        <v>30.792000000000002</v>
      </c>
      <c r="AQ20" s="153">
        <v>0.94</v>
      </c>
      <c r="AR20" s="153">
        <v>18.893000000000001</v>
      </c>
      <c r="AS20" s="153">
        <v>16.177</v>
      </c>
      <c r="AT20" s="153">
        <v>1215924</v>
      </c>
      <c r="AU20" s="153">
        <v>401948</v>
      </c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>
        <f t="shared" ref="AX21:BE21" si="5">GEOMEAN(AX16:AX19)</f>
        <v>1.5954479057969191</v>
      </c>
      <c r="AY21" s="161">
        <f t="shared" si="5"/>
        <v>1.3045806965061248</v>
      </c>
      <c r="AZ21" s="160">
        <f t="shared" si="5"/>
        <v>1.8023066761038962</v>
      </c>
      <c r="BA21" s="161">
        <f t="shared" si="5"/>
        <v>1.9705012251724305</v>
      </c>
      <c r="BB21" s="160">
        <f t="shared" si="5"/>
        <v>0.57266016267246855</v>
      </c>
      <c r="BC21" s="161">
        <f t="shared" si="5"/>
        <v>1.2258146292305931</v>
      </c>
      <c r="BD21" s="160">
        <f t="shared" si="5"/>
        <v>1.7760802789871628</v>
      </c>
      <c r="BE21" s="161">
        <f t="shared" si="5"/>
        <v>0.99743843659547315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>
        <f>IF(ISBLANK(E16),"",SUM(E16:L16))</f>
        <v>4727994</v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>
        <f>IF(ISBLANK(AC16),"",SUM(AC16:AJ16))</f>
        <v>4725189</v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>
        <f>IF(ISBLANK(E17),"",SUM(E17:L17))</f>
        <v>6994607</v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>
        <f>IF(ISBLANK(AC17),"",SUM(AC17:AJ17))</f>
        <v>6991802</v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>
        <f>IF(ISBLANK(E18),"",SUM(E18:L18))</f>
        <v>10471855</v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>
        <f>IF(ISBLANK(AC18),"",SUM(AC18:AJ18))</f>
        <v>10469050</v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>
        <f>IF(ISBLANK(E19),"",SUM(E19:L19))</f>
        <v>15070107</v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>
        <f>IF(ISBLANK(AC19),"",SUM(AC19:AJ19))</f>
        <v>15067302</v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>
        <f>IF(ISBLANK(E20),"",SUM(E20:L20))</f>
        <v>19405922</v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>
        <f>IF(ISBLANK(AC20),"",SUM(AC20:AJ20))</f>
        <v>19403117</v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>
        <v>30.738500000000009</v>
      </c>
      <c r="G33" s="189">
        <v>32.44619999999999</v>
      </c>
      <c r="H33" s="189">
        <v>0.95844761904761933</v>
      </c>
      <c r="I33" s="190">
        <v>0</v>
      </c>
      <c r="J33" s="190">
        <v>0</v>
      </c>
      <c r="K33" s="190">
        <v>0</v>
      </c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>
        <v>1140.3920000000001</v>
      </c>
      <c r="Y33" s="209"/>
      <c r="Z33" s="272" t="s">
        <v>108</v>
      </c>
      <c r="AA33" s="186" t="s">
        <v>54</v>
      </c>
      <c r="AB33" s="187"/>
      <c r="AC33" s="188"/>
      <c r="AD33" s="189">
        <v>30.738489229999999</v>
      </c>
      <c r="AE33" s="189">
        <v>32.446208179999999</v>
      </c>
      <c r="AF33" s="189">
        <v>0.95844887999999995</v>
      </c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>
        <f t="shared" ref="AY33:BC37" si="6">IF(OR(AD33="",F33=""),"",AD33-F33)</f>
        <v>-1.0770000010040803E-5</v>
      </c>
      <c r="AZ33" s="89">
        <f t="shared" si="6"/>
        <v>8.1800000089060632E-6</v>
      </c>
      <c r="BA33" s="89">
        <f t="shared" si="6"/>
        <v>1.2609523806217382E-6</v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>
        <v>33.326747619047623</v>
      </c>
      <c r="G34" s="151">
        <v>36.293133333333337</v>
      </c>
      <c r="H34" s="151">
        <v>0.97736666666666649</v>
      </c>
      <c r="I34" s="55">
        <v>0</v>
      </c>
      <c r="J34" s="55">
        <v>0</v>
      </c>
      <c r="K34" s="55">
        <v>0</v>
      </c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>
        <v>1171.3920000000001</v>
      </c>
      <c r="Y34" s="209"/>
      <c r="Z34" s="271"/>
      <c r="AA34" s="21" t="s">
        <v>55</v>
      </c>
      <c r="AB34" s="150"/>
      <c r="AC34" s="50"/>
      <c r="AD34" s="151">
        <v>33.326761699999999</v>
      </c>
      <c r="AE34" s="151">
        <v>36.293138929999998</v>
      </c>
      <c r="AF34" s="151">
        <v>0.97736822000000001</v>
      </c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>
        <f t="shared" si="6"/>
        <v>1.4080952375650213E-5</v>
      </c>
      <c r="AZ34" s="100">
        <f t="shared" si="6"/>
        <v>5.5966666607787374E-6</v>
      </c>
      <c r="BA34" s="100">
        <f t="shared" si="6"/>
        <v>1.553333333514928E-6</v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>
        <v>35.891647619047617</v>
      </c>
      <c r="G35" s="151">
        <v>40.74299523809524</v>
      </c>
      <c r="H35" s="151">
        <v>0.99001904761904758</v>
      </c>
      <c r="I35" s="55">
        <v>0</v>
      </c>
      <c r="J35" s="55">
        <v>0</v>
      </c>
      <c r="K35" s="55">
        <v>0</v>
      </c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>
        <v>1173.394</v>
      </c>
      <c r="Y35" s="209"/>
      <c r="Z35" s="271"/>
      <c r="AA35" s="21" t="s">
        <v>56</v>
      </c>
      <c r="AB35" s="150"/>
      <c r="AC35" s="50"/>
      <c r="AD35" s="151">
        <v>35.891653679999997</v>
      </c>
      <c r="AE35" s="151">
        <v>40.742995610000001</v>
      </c>
      <c r="AF35" s="151">
        <v>0.99001956000000002</v>
      </c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>
        <f t="shared" si="6"/>
        <v>6.0609523799826093E-6</v>
      </c>
      <c r="AZ35" s="100">
        <f t="shared" si="6"/>
        <v>3.719047612094073E-7</v>
      </c>
      <c r="BA35" s="100">
        <f t="shared" si="6"/>
        <v>5.1238095244432458E-7</v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>
        <v>37.737238095238098</v>
      </c>
      <c r="G36" s="151">
        <v>43.845704761904763</v>
      </c>
      <c r="H36" s="151">
        <v>0.99490000000000023</v>
      </c>
      <c r="I36" s="55">
        <v>0</v>
      </c>
      <c r="J36" s="55">
        <v>0</v>
      </c>
      <c r="K36" s="55">
        <v>0</v>
      </c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>
        <v>1179.567</v>
      </c>
      <c r="Y36" s="209"/>
      <c r="Z36" s="271"/>
      <c r="AA36" s="21" t="s">
        <v>57</v>
      </c>
      <c r="AB36" s="150"/>
      <c r="AC36" s="50"/>
      <c r="AD36" s="151">
        <v>37.737239559999999</v>
      </c>
      <c r="AE36" s="151">
        <v>43.84570222</v>
      </c>
      <c r="AF36" s="151">
        <v>0.99491110000000005</v>
      </c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>
        <f t="shared" si="6"/>
        <v>1.4647619011043389E-6</v>
      </c>
      <c r="AZ36" s="100">
        <f t="shared" si="6"/>
        <v>-2.5419047631203284E-6</v>
      </c>
      <c r="BA36" s="100">
        <f t="shared" si="6"/>
        <v>1.1099999999819588E-5</v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>
        <v>38.752842857142852</v>
      </c>
      <c r="G37" s="193">
        <v>45.015971428571433</v>
      </c>
      <c r="H37" s="193">
        <v>0.99611904761904757</v>
      </c>
      <c r="I37" s="170">
        <v>0</v>
      </c>
      <c r="J37" s="170">
        <v>0</v>
      </c>
      <c r="K37" s="170">
        <v>0</v>
      </c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>
        <v>1186.114</v>
      </c>
      <c r="Y37" s="209"/>
      <c r="Z37" s="273"/>
      <c r="AA37" s="23" t="s">
        <v>58</v>
      </c>
      <c r="AB37" s="35"/>
      <c r="AC37" s="52"/>
      <c r="AD37" s="193">
        <v>38.752838400000002</v>
      </c>
      <c r="AE37" s="193">
        <v>45.015964480000001</v>
      </c>
      <c r="AF37" s="193">
        <v>0.99612946999999996</v>
      </c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>
        <f t="shared" si="6"/>
        <v>-4.4571428503559218E-6</v>
      </c>
      <c r="AZ37" s="102">
        <f t="shared" si="6"/>
        <v>-6.9485714320194347E-6</v>
      </c>
      <c r="BA37" s="102">
        <f t="shared" si="6"/>
        <v>1.0422380952390675E-5</v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Z16:Z20"/>
    <mergeCell ref="B57:B61"/>
    <mergeCell ref="C31:X31"/>
    <mergeCell ref="V3:V4"/>
    <mergeCell ref="Q3:Q4"/>
    <mergeCell ref="AN3:AN4"/>
    <mergeCell ref="S3:S4"/>
    <mergeCell ref="AP3:AP4"/>
    <mergeCell ref="AX14:AY14"/>
    <mergeCell ref="AZ14:BA14"/>
    <mergeCell ref="AT3:AT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BH21:BJ21"/>
    <mergeCell ref="C2:X2"/>
    <mergeCell ref="BP3:BR3"/>
    <mergeCell ref="Z5:Z9"/>
    <mergeCell ref="Z33:Z37"/>
    <mergeCell ref="AA31:AV31"/>
    <mergeCell ref="X3:X4"/>
    <mergeCell ref="AO3:AO4"/>
    <mergeCell ref="AY31:BB31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workbookViewId="0">
      <selection activeCell="Q36" sqref="Q36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20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breakfast_track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breakfast_track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>
        <f>E23</f>
        <v>4612147</v>
      </c>
      <c r="F5" s="84">
        <f t="shared" ref="F5:K9" si="0">IF(ISBLANK(F33),"",F33)</f>
        <v>27.19622</v>
      </c>
      <c r="G5" s="84">
        <f t="shared" si="0"/>
        <v>28.954166666666669</v>
      </c>
      <c r="H5" s="84">
        <f t="shared" si="0"/>
        <v>0.94577999999999995</v>
      </c>
      <c r="I5" s="84">
        <f t="shared" si="0"/>
        <v>0</v>
      </c>
      <c r="J5" s="84">
        <f t="shared" si="0"/>
        <v>0</v>
      </c>
      <c r="K5" s="84">
        <f t="shared" si="0"/>
        <v>0</v>
      </c>
      <c r="L5" s="49"/>
      <c r="M5" s="49"/>
      <c r="N5" s="20"/>
      <c r="O5" s="50"/>
      <c r="P5" s="107">
        <f t="shared" ref="P5:W9" si="1">IF(ISBLANK(P16),"",P16)</f>
        <v>29.370999999999999</v>
      </c>
      <c r="Q5" s="125">
        <f t="shared" si="1"/>
        <v>11.46</v>
      </c>
      <c r="R5" s="107">
        <f t="shared" si="1"/>
        <v>13.845000000000001</v>
      </c>
      <c r="S5" s="125">
        <f t="shared" si="1"/>
        <v>0.441</v>
      </c>
      <c r="T5" s="107">
        <f t="shared" si="1"/>
        <v>27.343</v>
      </c>
      <c r="U5" s="125">
        <f t="shared" si="1"/>
        <v>11.403999999999989</v>
      </c>
      <c r="V5" s="107">
        <f t="shared" si="1"/>
        <v>635240</v>
      </c>
      <c r="W5" s="125">
        <f t="shared" si="1"/>
        <v>376608</v>
      </c>
      <c r="X5" s="109">
        <f>IF(ISBLANK(X33),"",X33)</f>
        <v>640.23699999999997</v>
      </c>
      <c r="Y5" s="209"/>
      <c r="Z5" s="270"/>
      <c r="AA5" s="19" t="s">
        <v>54</v>
      </c>
      <c r="AB5" s="20"/>
      <c r="AC5" s="104">
        <f>AC23</f>
        <v>4610503</v>
      </c>
      <c r="AD5" s="24">
        <f t="shared" ref="AD5:AI9" si="2">IF(ISBLANK(AD33),"",AD33)</f>
        <v>27.196215120000002</v>
      </c>
      <c r="AE5" s="24">
        <f t="shared" si="2"/>
        <v>28.954166529999998</v>
      </c>
      <c r="AF5" s="24">
        <f t="shared" si="2"/>
        <v>0.94577754000000003</v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>
        <f t="shared" ref="AN5:AU9" si="3">IF(ISBLANK(AN16),"",AN16)</f>
        <v>45.372999999999998</v>
      </c>
      <c r="AO5" s="125">
        <f t="shared" si="3"/>
        <v>15.079000000000001</v>
      </c>
      <c r="AP5" s="107">
        <f t="shared" si="3"/>
        <v>23.91</v>
      </c>
      <c r="AQ5" s="125">
        <f t="shared" si="3"/>
        <v>0.88500000000000001</v>
      </c>
      <c r="AR5" s="107">
        <f t="shared" si="3"/>
        <v>16.957000000000001</v>
      </c>
      <c r="AS5" s="125">
        <f t="shared" si="3"/>
        <v>14.109</v>
      </c>
      <c r="AT5" s="107">
        <f t="shared" si="3"/>
        <v>1135392</v>
      </c>
      <c r="AU5" s="125">
        <f t="shared" si="3"/>
        <v>376512</v>
      </c>
      <c r="AV5" s="109" t="str">
        <f>IF(ISBLANK(AV33),"",AV33)</f>
        <v/>
      </c>
      <c r="AW5" s="88"/>
      <c r="AX5" s="131"/>
      <c r="AY5" s="234">
        <f>bdRateExtend($E5:$E9,F5:F9,$AC5:$AC9,AD5:AD9)</f>
        <v>-2.1743374250793313E-4</v>
      </c>
      <c r="AZ5" s="234">
        <f>bdRateExtend($E5:$E9,G5:G9,$AC5:$AC9,AE5:AE9)</f>
        <v>-2.1440964132479756E-4</v>
      </c>
      <c r="BA5" s="234">
        <f>bdRateExtend($E5:$E9,H5:H9,$AC5:$AC9,AF5:AF9)</f>
        <v>-1.8682173546358261E-4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>
        <f>E24</f>
        <v>6638389</v>
      </c>
      <c r="F6" s="84">
        <f t="shared" si="0"/>
        <v>30.453013333333342</v>
      </c>
      <c r="G6" s="84">
        <f t="shared" si="0"/>
        <v>32.824559999999998</v>
      </c>
      <c r="H6" s="84">
        <f t="shared" si="0"/>
        <v>0.97032666666666667</v>
      </c>
      <c r="I6" s="84">
        <f t="shared" si="0"/>
        <v>0</v>
      </c>
      <c r="J6" s="84">
        <f t="shared" si="0"/>
        <v>0</v>
      </c>
      <c r="K6" s="84">
        <f t="shared" si="0"/>
        <v>0</v>
      </c>
      <c r="L6" s="50"/>
      <c r="M6" s="50"/>
      <c r="N6" s="22"/>
      <c r="O6" s="50"/>
      <c r="P6" s="107">
        <f t="shared" si="1"/>
        <v>29.77</v>
      </c>
      <c r="Q6" s="107">
        <f t="shared" si="1"/>
        <v>11.529</v>
      </c>
      <c r="R6" s="107">
        <f t="shared" si="1"/>
        <v>13.96</v>
      </c>
      <c r="S6" s="107">
        <f t="shared" si="1"/>
        <v>0.45800000000000002</v>
      </c>
      <c r="T6" s="107">
        <f t="shared" si="1"/>
        <v>27.657000000000011</v>
      </c>
      <c r="U6" s="107">
        <f t="shared" si="1"/>
        <v>11.458</v>
      </c>
      <c r="V6" s="107">
        <f t="shared" si="1"/>
        <v>635220</v>
      </c>
      <c r="W6" s="107">
        <f t="shared" si="1"/>
        <v>376728</v>
      </c>
      <c r="X6" s="109">
        <f>IF(ISBLANK(X34),"",X34)</f>
        <v>647.32699999999988</v>
      </c>
      <c r="Y6" s="209"/>
      <c r="Z6" s="271"/>
      <c r="AA6" s="21" t="s">
        <v>55</v>
      </c>
      <c r="AB6" s="22"/>
      <c r="AC6" s="129">
        <f>AC24</f>
        <v>6636745</v>
      </c>
      <c r="AD6" s="84">
        <f t="shared" si="2"/>
        <v>30.45301422</v>
      </c>
      <c r="AE6" s="84">
        <f t="shared" si="2"/>
        <v>32.824565020000001</v>
      </c>
      <c r="AF6" s="84">
        <f t="shared" si="2"/>
        <v>0.97032218999999997</v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>
        <f t="shared" si="3"/>
        <v>47.645000000000003</v>
      </c>
      <c r="AO6" s="107">
        <f t="shared" si="3"/>
        <v>15.239000000000001</v>
      </c>
      <c r="AP6" s="107">
        <f t="shared" si="3"/>
        <v>24.920999999999999</v>
      </c>
      <c r="AQ6" s="107">
        <f t="shared" si="3"/>
        <v>0.87</v>
      </c>
      <c r="AR6" s="107">
        <f t="shared" si="3"/>
        <v>18.074000000000002</v>
      </c>
      <c r="AS6" s="107">
        <f t="shared" si="3"/>
        <v>14.282</v>
      </c>
      <c r="AT6" s="107">
        <f t="shared" si="3"/>
        <v>1133244</v>
      </c>
      <c r="AU6" s="107">
        <f t="shared" si="3"/>
        <v>376076</v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>
        <f>E25</f>
        <v>9579630</v>
      </c>
      <c r="F7" s="84">
        <f t="shared" si="0"/>
        <v>34.500453333333333</v>
      </c>
      <c r="G7" s="84">
        <f t="shared" si="0"/>
        <v>38.282213333333331</v>
      </c>
      <c r="H7" s="84">
        <f t="shared" si="0"/>
        <v>0.98659333333333343</v>
      </c>
      <c r="I7" s="84">
        <f t="shared" si="0"/>
        <v>0</v>
      </c>
      <c r="J7" s="84">
        <f t="shared" si="0"/>
        <v>0</v>
      </c>
      <c r="K7" s="84">
        <f t="shared" si="0"/>
        <v>0</v>
      </c>
      <c r="L7" s="50"/>
      <c r="M7" s="50"/>
      <c r="N7" s="22"/>
      <c r="O7" s="50"/>
      <c r="P7" s="107">
        <f t="shared" si="1"/>
        <v>30.259</v>
      </c>
      <c r="Q7" s="107">
        <f t="shared" si="1"/>
        <v>11.699</v>
      </c>
      <c r="R7" s="107">
        <f t="shared" si="1"/>
        <v>14.125</v>
      </c>
      <c r="S7" s="107">
        <f t="shared" si="1"/>
        <v>0.45</v>
      </c>
      <c r="T7" s="107">
        <f t="shared" si="1"/>
        <v>28.135000000000002</v>
      </c>
      <c r="U7" s="107">
        <f t="shared" si="1"/>
        <v>11.632</v>
      </c>
      <c r="V7" s="107">
        <f t="shared" si="1"/>
        <v>635388</v>
      </c>
      <c r="W7" s="107">
        <f t="shared" si="1"/>
        <v>376608</v>
      </c>
      <c r="X7" s="109">
        <f>IF(ISBLANK(X35),"",X35)</f>
        <v>653.20900000000006</v>
      </c>
      <c r="Y7" s="209"/>
      <c r="Z7" s="271"/>
      <c r="AA7" s="21" t="s">
        <v>56</v>
      </c>
      <c r="AB7" s="22"/>
      <c r="AC7" s="129">
        <f>AC25</f>
        <v>9577986</v>
      </c>
      <c r="AD7" s="84">
        <f t="shared" si="2"/>
        <v>34.500437269999999</v>
      </c>
      <c r="AE7" s="84">
        <f t="shared" si="2"/>
        <v>38.282210599999999</v>
      </c>
      <c r="AF7" s="84">
        <f t="shared" si="2"/>
        <v>0.98658572</v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>
        <f t="shared" si="3"/>
        <v>48.593000000000004</v>
      </c>
      <c r="AO7" s="107">
        <f t="shared" si="3"/>
        <v>15.911</v>
      </c>
      <c r="AP7" s="107">
        <f t="shared" si="3"/>
        <v>25.260999999999999</v>
      </c>
      <c r="AQ7" s="107">
        <f t="shared" si="3"/>
        <v>0.86799999999999999</v>
      </c>
      <c r="AR7" s="107">
        <f t="shared" si="3"/>
        <v>18.71</v>
      </c>
      <c r="AS7" s="107">
        <f t="shared" si="3"/>
        <v>14.935</v>
      </c>
      <c r="AT7" s="107">
        <f t="shared" si="3"/>
        <v>1133504</v>
      </c>
      <c r="AU7" s="107">
        <f t="shared" si="3"/>
        <v>375372</v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>
        <f>E26</f>
        <v>13510924</v>
      </c>
      <c r="F8" s="84">
        <f t="shared" si="0"/>
        <v>36.634253333333326</v>
      </c>
      <c r="G8" s="84">
        <f t="shared" si="0"/>
        <v>41.441673333333327</v>
      </c>
      <c r="H8" s="84">
        <f t="shared" si="0"/>
        <v>0.99273333333333336</v>
      </c>
      <c r="I8" s="84">
        <f t="shared" si="0"/>
        <v>0</v>
      </c>
      <c r="J8" s="84">
        <f t="shared" si="0"/>
        <v>0</v>
      </c>
      <c r="K8" s="84">
        <f t="shared" si="0"/>
        <v>0</v>
      </c>
      <c r="L8" s="50"/>
      <c r="M8" s="50"/>
      <c r="N8" s="22"/>
      <c r="O8" s="50"/>
      <c r="P8" s="107">
        <f t="shared" si="1"/>
        <v>30.562999999999999</v>
      </c>
      <c r="Q8" s="107">
        <f t="shared" si="1"/>
        <v>12.323</v>
      </c>
      <c r="R8" s="107">
        <f t="shared" si="1"/>
        <v>13.792</v>
      </c>
      <c r="S8" s="107">
        <f t="shared" si="1"/>
        <v>0.439</v>
      </c>
      <c r="T8" s="107">
        <f t="shared" si="1"/>
        <v>28.445</v>
      </c>
      <c r="U8" s="107">
        <f t="shared" si="1"/>
        <v>12.271000000000001</v>
      </c>
      <c r="V8" s="107">
        <f t="shared" si="1"/>
        <v>635380</v>
      </c>
      <c r="W8" s="107">
        <f t="shared" si="1"/>
        <v>376816</v>
      </c>
      <c r="X8" s="109">
        <f>IF(ISBLANK(X36),"",X36)</f>
        <v>660.99900000000002</v>
      </c>
      <c r="Y8" s="209"/>
      <c r="Z8" s="271"/>
      <c r="AA8" s="21" t="s">
        <v>57</v>
      </c>
      <c r="AB8" s="22"/>
      <c r="AC8" s="129">
        <f>AC26</f>
        <v>13509280</v>
      </c>
      <c r="AD8" s="84">
        <f t="shared" si="2"/>
        <v>36.63425565</v>
      </c>
      <c r="AE8" s="84">
        <f t="shared" si="2"/>
        <v>41.441682839999999</v>
      </c>
      <c r="AF8" s="84">
        <f t="shared" si="2"/>
        <v>0.99273785999999997</v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>
        <f t="shared" si="3"/>
        <v>49.238</v>
      </c>
      <c r="AO8" s="107">
        <f t="shared" si="3"/>
        <v>16.012</v>
      </c>
      <c r="AP8" s="107">
        <f t="shared" si="3"/>
        <v>25.478000000000002</v>
      </c>
      <c r="AQ8" s="107">
        <f t="shared" si="3"/>
        <v>0.872</v>
      </c>
      <c r="AR8" s="107">
        <f t="shared" si="3"/>
        <v>19.065999999999999</v>
      </c>
      <c r="AS8" s="107">
        <f t="shared" si="3"/>
        <v>15.051</v>
      </c>
      <c r="AT8" s="107">
        <f t="shared" si="3"/>
        <v>1133608</v>
      </c>
      <c r="AU8" s="107">
        <f t="shared" si="3"/>
        <v>376080</v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>
        <f>E27</f>
        <v>17324470</v>
      </c>
      <c r="F9" s="28">
        <f t="shared" si="0"/>
        <v>37.30777333333333</v>
      </c>
      <c r="G9" s="28">
        <f t="shared" si="0"/>
        <v>42.221853333333343</v>
      </c>
      <c r="H9" s="28">
        <f t="shared" si="0"/>
        <v>0.99438000000000004</v>
      </c>
      <c r="I9" s="28">
        <f t="shared" si="0"/>
        <v>0</v>
      </c>
      <c r="J9" s="28">
        <f t="shared" si="0"/>
        <v>0</v>
      </c>
      <c r="K9" s="28">
        <f t="shared" si="0"/>
        <v>0</v>
      </c>
      <c r="L9" s="50"/>
      <c r="M9" s="50"/>
      <c r="N9" s="22"/>
      <c r="O9" s="50"/>
      <c r="P9" s="107">
        <f t="shared" si="1"/>
        <v>30.917000000000002</v>
      </c>
      <c r="Q9" s="107">
        <f t="shared" si="1"/>
        <v>12.372999999999999</v>
      </c>
      <c r="R9" s="107">
        <f t="shared" si="1"/>
        <v>13.843999999999999</v>
      </c>
      <c r="S9" s="107">
        <f t="shared" si="1"/>
        <v>0.439</v>
      </c>
      <c r="T9" s="107">
        <f t="shared" si="1"/>
        <v>28.784999999999989</v>
      </c>
      <c r="U9" s="107">
        <f t="shared" si="1"/>
        <v>12.303000000000001</v>
      </c>
      <c r="V9" s="107">
        <f t="shared" si="1"/>
        <v>635328</v>
      </c>
      <c r="W9" s="107">
        <f t="shared" si="1"/>
        <v>377328</v>
      </c>
      <c r="X9" s="109">
        <f>IF(ISBLANK(X37),"",X37)</f>
        <v>667.99000000000012</v>
      </c>
      <c r="Y9" s="209"/>
      <c r="Z9" s="271"/>
      <c r="AA9" s="21" t="s">
        <v>58</v>
      </c>
      <c r="AB9" s="22"/>
      <c r="AC9" s="129">
        <f>AC27</f>
        <v>17322826</v>
      </c>
      <c r="AD9" s="84">
        <f t="shared" si="2"/>
        <v>37.307762869999998</v>
      </c>
      <c r="AE9" s="84">
        <f t="shared" si="2"/>
        <v>42.221851389999998</v>
      </c>
      <c r="AF9" s="84">
        <f t="shared" si="2"/>
        <v>0.99438722999999996</v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>
        <f t="shared" si="3"/>
        <v>49.581000000000003</v>
      </c>
      <c r="AO9" s="107">
        <f t="shared" si="3"/>
        <v>16.154</v>
      </c>
      <c r="AP9" s="107">
        <f t="shared" si="3"/>
        <v>25.439</v>
      </c>
      <c r="AQ9" s="107">
        <f t="shared" si="3"/>
        <v>0.873</v>
      </c>
      <c r="AR9" s="107">
        <f t="shared" si="3"/>
        <v>19.498000000000001</v>
      </c>
      <c r="AS9" s="107">
        <f t="shared" si="3"/>
        <v>15.19700000000001</v>
      </c>
      <c r="AT9" s="107">
        <f t="shared" si="3"/>
        <v>1129936</v>
      </c>
      <c r="AU9" s="107">
        <f t="shared" si="3"/>
        <v>376844</v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>
        <v>725616</v>
      </c>
      <c r="F16" s="106">
        <v>868855</v>
      </c>
      <c r="G16" s="138">
        <v>174131</v>
      </c>
      <c r="H16" s="138">
        <v>77623</v>
      </c>
      <c r="I16" s="138">
        <v>187280</v>
      </c>
      <c r="J16" s="138">
        <v>1387807</v>
      </c>
      <c r="K16" s="54">
        <v>894960</v>
      </c>
      <c r="L16" s="54">
        <v>295875</v>
      </c>
      <c r="M16" s="54"/>
      <c r="N16" s="49"/>
      <c r="O16" s="245"/>
      <c r="P16" s="152">
        <v>29.370999999999999</v>
      </c>
      <c r="Q16" s="152">
        <v>11.46</v>
      </c>
      <c r="R16" s="152">
        <v>13.845000000000001</v>
      </c>
      <c r="S16" s="152">
        <v>0.441</v>
      </c>
      <c r="T16" s="152">
        <v>27.343</v>
      </c>
      <c r="U16" s="152">
        <v>11.403999999999989</v>
      </c>
      <c r="V16" s="152">
        <v>635240</v>
      </c>
      <c r="W16" s="152">
        <v>376608</v>
      </c>
      <c r="X16" s="118"/>
      <c r="Y16" s="209"/>
      <c r="Z16" s="285"/>
      <c r="AA16" s="19" t="s">
        <v>54</v>
      </c>
      <c r="AB16" s="20"/>
      <c r="AC16" s="106">
        <v>723972</v>
      </c>
      <c r="AD16" s="106">
        <v>868855</v>
      </c>
      <c r="AE16" s="138">
        <v>174131</v>
      </c>
      <c r="AF16" s="138">
        <v>77623</v>
      </c>
      <c r="AG16" s="138">
        <v>187280</v>
      </c>
      <c r="AH16" s="138">
        <v>1387807</v>
      </c>
      <c r="AI16" s="54">
        <v>894960</v>
      </c>
      <c r="AJ16" s="54">
        <v>295875</v>
      </c>
      <c r="AK16" s="54">
        <v>980</v>
      </c>
      <c r="AL16" s="49"/>
      <c r="AM16" s="245"/>
      <c r="AN16" s="152">
        <v>45.372999999999998</v>
      </c>
      <c r="AO16" s="152">
        <v>15.079000000000001</v>
      </c>
      <c r="AP16" s="152">
        <v>23.91</v>
      </c>
      <c r="AQ16" s="152">
        <v>0.88500000000000001</v>
      </c>
      <c r="AR16" s="152">
        <v>16.957000000000001</v>
      </c>
      <c r="AS16" s="152">
        <v>14.109</v>
      </c>
      <c r="AT16" s="152">
        <v>1135392</v>
      </c>
      <c r="AU16" s="152">
        <v>376512</v>
      </c>
      <c r="AV16" s="118"/>
      <c r="AW16" s="88"/>
      <c r="AX16" s="155">
        <f t="shared" ref="AX16:BE19" si="4">AN16/P16</f>
        <v>1.5448231248510436</v>
      </c>
      <c r="AY16" s="194">
        <f t="shared" si="4"/>
        <v>1.3157940663176264</v>
      </c>
      <c r="AZ16" s="155">
        <f t="shared" si="4"/>
        <v>1.7269772481040087</v>
      </c>
      <c r="BA16" s="194">
        <f t="shared" si="4"/>
        <v>2.0068027210884352</v>
      </c>
      <c r="BB16" s="155">
        <f t="shared" si="4"/>
        <v>0.62015872435358232</v>
      </c>
      <c r="BC16" s="194">
        <f t="shared" si="4"/>
        <v>1.2371974745703274</v>
      </c>
      <c r="BD16" s="155">
        <f t="shared" si="4"/>
        <v>1.7873433662867577</v>
      </c>
      <c r="BE16" s="194">
        <f t="shared" si="4"/>
        <v>0.99974509304103998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>
        <v>725616</v>
      </c>
      <c r="F17" s="119">
        <v>1151110</v>
      </c>
      <c r="G17" s="139">
        <v>462506</v>
      </c>
      <c r="H17" s="139">
        <v>288958</v>
      </c>
      <c r="I17" s="139">
        <v>647326</v>
      </c>
      <c r="J17" s="139">
        <v>1786285</v>
      </c>
      <c r="K17" s="55">
        <v>1186363</v>
      </c>
      <c r="L17" s="55">
        <v>390225</v>
      </c>
      <c r="M17" s="55"/>
      <c r="N17" s="50"/>
      <c r="O17" s="233"/>
      <c r="P17" s="153">
        <v>29.77</v>
      </c>
      <c r="Q17" s="153">
        <v>11.529</v>
      </c>
      <c r="R17" s="153">
        <v>13.96</v>
      </c>
      <c r="S17" s="153">
        <v>0.45800000000000002</v>
      </c>
      <c r="T17" s="153">
        <v>27.657000000000011</v>
      </c>
      <c r="U17" s="153">
        <v>11.458</v>
      </c>
      <c r="V17" s="153">
        <v>635220</v>
      </c>
      <c r="W17" s="153">
        <v>376728</v>
      </c>
      <c r="X17" s="120"/>
      <c r="Y17" s="209"/>
      <c r="Z17" s="271"/>
      <c r="AA17" s="21" t="s">
        <v>55</v>
      </c>
      <c r="AB17" s="22"/>
      <c r="AC17" s="119">
        <v>723972</v>
      </c>
      <c r="AD17" s="119">
        <v>1151110</v>
      </c>
      <c r="AE17" s="139">
        <v>462506</v>
      </c>
      <c r="AF17" s="139">
        <v>288958</v>
      </c>
      <c r="AG17" s="139">
        <v>647326</v>
      </c>
      <c r="AH17" s="139">
        <v>1786285</v>
      </c>
      <c r="AI17" s="55">
        <v>1186363</v>
      </c>
      <c r="AJ17" s="55">
        <v>390225</v>
      </c>
      <c r="AK17" s="55">
        <v>979</v>
      </c>
      <c r="AL17" s="50"/>
      <c r="AM17" s="233"/>
      <c r="AN17" s="153">
        <v>47.645000000000003</v>
      </c>
      <c r="AO17" s="153">
        <v>15.239000000000001</v>
      </c>
      <c r="AP17" s="153">
        <v>24.920999999999999</v>
      </c>
      <c r="AQ17" s="153">
        <v>0.87</v>
      </c>
      <c r="AR17" s="153">
        <v>18.074000000000002</v>
      </c>
      <c r="AS17" s="153">
        <v>14.282</v>
      </c>
      <c r="AT17" s="153">
        <v>1133244</v>
      </c>
      <c r="AU17" s="153">
        <v>376076</v>
      </c>
      <c r="AV17" s="120"/>
      <c r="AW17" s="88"/>
      <c r="AX17" s="156">
        <f t="shared" si="4"/>
        <v>1.6004366812227075</v>
      </c>
      <c r="AY17" s="157">
        <f t="shared" si="4"/>
        <v>1.3217972070431088</v>
      </c>
      <c r="AZ17" s="156">
        <f t="shared" si="4"/>
        <v>1.7851719197707734</v>
      </c>
      <c r="BA17" s="157">
        <f t="shared" si="4"/>
        <v>1.8995633187772925</v>
      </c>
      <c r="BB17" s="156">
        <f t="shared" si="4"/>
        <v>0.65350544166033897</v>
      </c>
      <c r="BC17" s="157">
        <f t="shared" si="4"/>
        <v>1.2464653517193227</v>
      </c>
      <c r="BD17" s="156">
        <f t="shared" si="4"/>
        <v>1.7840181354491358</v>
      </c>
      <c r="BE17" s="157">
        <f t="shared" si="4"/>
        <v>0.99826930836040861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>
        <v>725616</v>
      </c>
      <c r="F18" s="119">
        <v>1440460</v>
      </c>
      <c r="G18" s="139">
        <v>952680</v>
      </c>
      <c r="H18" s="139">
        <v>724522</v>
      </c>
      <c r="I18" s="139">
        <v>1559567</v>
      </c>
      <c r="J18" s="139">
        <v>2199703</v>
      </c>
      <c r="K18" s="55">
        <v>1490140</v>
      </c>
      <c r="L18" s="55">
        <v>486942</v>
      </c>
      <c r="M18" s="55"/>
      <c r="N18" s="50"/>
      <c r="O18" s="233"/>
      <c r="P18" s="153">
        <v>30.259</v>
      </c>
      <c r="Q18" s="153">
        <v>11.699</v>
      </c>
      <c r="R18" s="153">
        <v>14.125</v>
      </c>
      <c r="S18" s="153">
        <v>0.45</v>
      </c>
      <c r="T18" s="153">
        <v>28.135000000000002</v>
      </c>
      <c r="U18" s="153">
        <v>11.632</v>
      </c>
      <c r="V18" s="153">
        <v>635388</v>
      </c>
      <c r="W18" s="153">
        <v>376608</v>
      </c>
      <c r="X18" s="120"/>
      <c r="Y18" s="209"/>
      <c r="Z18" s="271"/>
      <c r="AA18" s="21" t="s">
        <v>56</v>
      </c>
      <c r="AB18" s="22"/>
      <c r="AC18" s="119">
        <v>723972</v>
      </c>
      <c r="AD18" s="119">
        <v>1440460</v>
      </c>
      <c r="AE18" s="139">
        <v>952680</v>
      </c>
      <c r="AF18" s="139">
        <v>724522</v>
      </c>
      <c r="AG18" s="139">
        <v>1559567</v>
      </c>
      <c r="AH18" s="139">
        <v>2199703</v>
      </c>
      <c r="AI18" s="55">
        <v>1490140</v>
      </c>
      <c r="AJ18" s="55">
        <v>486942</v>
      </c>
      <c r="AK18" s="55">
        <v>977</v>
      </c>
      <c r="AL18" s="50"/>
      <c r="AM18" s="233"/>
      <c r="AN18" s="153">
        <v>48.593000000000004</v>
      </c>
      <c r="AO18" s="153">
        <v>15.911</v>
      </c>
      <c r="AP18" s="153">
        <v>25.260999999999999</v>
      </c>
      <c r="AQ18" s="153">
        <v>0.86799999999999999</v>
      </c>
      <c r="AR18" s="153">
        <v>18.71</v>
      </c>
      <c r="AS18" s="153">
        <v>14.935</v>
      </c>
      <c r="AT18" s="153">
        <v>1133504</v>
      </c>
      <c r="AU18" s="153">
        <v>375372</v>
      </c>
      <c r="AV18" s="120"/>
      <c r="AW18" s="88"/>
      <c r="AX18" s="156">
        <f t="shared" si="4"/>
        <v>1.6059023761525497</v>
      </c>
      <c r="AY18" s="157">
        <f t="shared" si="4"/>
        <v>1.3600307718608429</v>
      </c>
      <c r="AZ18" s="156">
        <f t="shared" si="4"/>
        <v>1.7883893805309734</v>
      </c>
      <c r="BA18" s="157">
        <f t="shared" si="4"/>
        <v>1.9288888888888889</v>
      </c>
      <c r="BB18" s="156">
        <f t="shared" si="4"/>
        <v>0.66500799715656655</v>
      </c>
      <c r="BC18" s="157">
        <f t="shared" si="4"/>
        <v>1.283958046767538</v>
      </c>
      <c r="BD18" s="156">
        <f t="shared" si="4"/>
        <v>1.7839556302605653</v>
      </c>
      <c r="BE18" s="157">
        <f t="shared" si="4"/>
        <v>0.99671807290339032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>
        <v>725616</v>
      </c>
      <c r="F19" s="119">
        <v>1635976</v>
      </c>
      <c r="G19" s="139">
        <v>1626410</v>
      </c>
      <c r="H19" s="139">
        <v>1438328</v>
      </c>
      <c r="I19" s="139">
        <v>3062099</v>
      </c>
      <c r="J19" s="139">
        <v>2626184</v>
      </c>
      <c r="K19" s="55">
        <v>1808268</v>
      </c>
      <c r="L19" s="55">
        <v>588043</v>
      </c>
      <c r="M19" s="55"/>
      <c r="N19" s="50"/>
      <c r="O19" s="233"/>
      <c r="P19" s="153">
        <v>30.562999999999999</v>
      </c>
      <c r="Q19" s="153">
        <v>12.323</v>
      </c>
      <c r="R19" s="153">
        <v>13.792</v>
      </c>
      <c r="S19" s="153">
        <v>0.439</v>
      </c>
      <c r="T19" s="153">
        <v>28.445</v>
      </c>
      <c r="U19" s="153">
        <v>12.271000000000001</v>
      </c>
      <c r="V19" s="153">
        <v>635380</v>
      </c>
      <c r="W19" s="153">
        <v>376816</v>
      </c>
      <c r="X19" s="120"/>
      <c r="Y19" s="209"/>
      <c r="Z19" s="271"/>
      <c r="AA19" s="21" t="s">
        <v>57</v>
      </c>
      <c r="AB19" s="22"/>
      <c r="AC19" s="119">
        <v>723972</v>
      </c>
      <c r="AD19" s="119">
        <v>1635976</v>
      </c>
      <c r="AE19" s="139">
        <v>1626410</v>
      </c>
      <c r="AF19" s="139">
        <v>1438328</v>
      </c>
      <c r="AG19" s="139">
        <v>3062099</v>
      </c>
      <c r="AH19" s="139">
        <v>2626184</v>
      </c>
      <c r="AI19" s="55">
        <v>1808268</v>
      </c>
      <c r="AJ19" s="55">
        <v>588043</v>
      </c>
      <c r="AK19" s="55">
        <v>961</v>
      </c>
      <c r="AL19" s="50"/>
      <c r="AM19" s="233"/>
      <c r="AN19" s="153">
        <v>49.238</v>
      </c>
      <c r="AO19" s="153">
        <v>16.012</v>
      </c>
      <c r="AP19" s="153">
        <v>25.478000000000002</v>
      </c>
      <c r="AQ19" s="153">
        <v>0.872</v>
      </c>
      <c r="AR19" s="153">
        <v>19.065999999999999</v>
      </c>
      <c r="AS19" s="153">
        <v>15.051</v>
      </c>
      <c r="AT19" s="153">
        <v>1133608</v>
      </c>
      <c r="AU19" s="153">
        <v>376080</v>
      </c>
      <c r="AV19" s="120"/>
      <c r="AW19" s="88"/>
      <c r="AX19" s="156">
        <f t="shared" si="4"/>
        <v>1.6110329483362236</v>
      </c>
      <c r="AY19" s="157">
        <f t="shared" si="4"/>
        <v>1.2993589223403392</v>
      </c>
      <c r="AZ19" s="156">
        <f t="shared" si="4"/>
        <v>1.8473027842227379</v>
      </c>
      <c r="BA19" s="157">
        <f t="shared" si="4"/>
        <v>1.9863325740318907</v>
      </c>
      <c r="BB19" s="156">
        <f t="shared" si="4"/>
        <v>0.67027597117243798</v>
      </c>
      <c r="BC19" s="157">
        <f t="shared" si="4"/>
        <v>1.2265504033901067</v>
      </c>
      <c r="BD19" s="156">
        <f t="shared" si="4"/>
        <v>1.7841417734269256</v>
      </c>
      <c r="BE19" s="157">
        <f t="shared" si="4"/>
        <v>0.9980467920682774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>
        <v>725616</v>
      </c>
      <c r="F20" s="171">
        <v>1715776</v>
      </c>
      <c r="G20" s="139">
        <v>2123016</v>
      </c>
      <c r="H20" s="139">
        <v>2211795</v>
      </c>
      <c r="I20" s="139">
        <v>4663204</v>
      </c>
      <c r="J20" s="139">
        <v>3059295</v>
      </c>
      <c r="K20" s="55">
        <v>2134054</v>
      </c>
      <c r="L20" s="55">
        <v>691714</v>
      </c>
      <c r="M20" s="55"/>
      <c r="N20" s="50"/>
      <c r="O20" s="233"/>
      <c r="P20" s="153">
        <v>30.917000000000002</v>
      </c>
      <c r="Q20" s="153">
        <v>12.372999999999999</v>
      </c>
      <c r="R20" s="153">
        <v>13.843999999999999</v>
      </c>
      <c r="S20" s="153">
        <v>0.439</v>
      </c>
      <c r="T20" s="153">
        <v>28.784999999999989</v>
      </c>
      <c r="U20" s="153">
        <v>12.303000000000001</v>
      </c>
      <c r="V20" s="153">
        <v>635328</v>
      </c>
      <c r="W20" s="153">
        <v>377328</v>
      </c>
      <c r="X20" s="121"/>
      <c r="Y20" s="209"/>
      <c r="Z20" s="271"/>
      <c r="AA20" s="23" t="s">
        <v>58</v>
      </c>
      <c r="AB20" s="31"/>
      <c r="AC20" s="171">
        <v>723972</v>
      </c>
      <c r="AD20" s="171">
        <v>1715776</v>
      </c>
      <c r="AE20" s="139">
        <v>2123016</v>
      </c>
      <c r="AF20" s="139">
        <v>2211795</v>
      </c>
      <c r="AG20" s="139">
        <v>4663204</v>
      </c>
      <c r="AH20" s="139">
        <v>3059295</v>
      </c>
      <c r="AI20" s="55">
        <v>2134054</v>
      </c>
      <c r="AJ20" s="55">
        <v>691714</v>
      </c>
      <c r="AK20" s="55">
        <v>948</v>
      </c>
      <c r="AL20" s="50"/>
      <c r="AM20" s="233"/>
      <c r="AN20" s="153">
        <v>49.581000000000003</v>
      </c>
      <c r="AO20" s="153">
        <v>16.154</v>
      </c>
      <c r="AP20" s="153">
        <v>25.439</v>
      </c>
      <c r="AQ20" s="153">
        <v>0.873</v>
      </c>
      <c r="AR20" s="153">
        <v>19.498000000000001</v>
      </c>
      <c r="AS20" s="153">
        <v>15.19700000000001</v>
      </c>
      <c r="AT20" s="153">
        <v>1129936</v>
      </c>
      <c r="AU20" s="153">
        <v>376844</v>
      </c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>
        <f t="shared" ref="AX21:BE21" si="5">GEOMEAN(AX16:AX19)</f>
        <v>1.5903225074221581</v>
      </c>
      <c r="AY21" s="161">
        <f t="shared" si="5"/>
        <v>1.3240599683398404</v>
      </c>
      <c r="AZ21" s="160">
        <f t="shared" si="5"/>
        <v>1.786453463740326</v>
      </c>
      <c r="BA21" s="161">
        <f t="shared" si="5"/>
        <v>1.9549218827303811</v>
      </c>
      <c r="BB21" s="160">
        <f t="shared" si="5"/>
        <v>0.65194077758542845</v>
      </c>
      <c r="BC21" s="161">
        <f t="shared" si="5"/>
        <v>1.2483571906373863</v>
      </c>
      <c r="BD21" s="160">
        <f t="shared" si="5"/>
        <v>1.7848641517706949</v>
      </c>
      <c r="BE21" s="161">
        <f t="shared" si="5"/>
        <v>0.99819423914368244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>
        <f>IF(ISBLANK(E16),"",SUM(E16:L16))</f>
        <v>4612147</v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>
        <f>IF(ISBLANK(AC16),"",SUM(AC16:AJ16))</f>
        <v>4610503</v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>
        <f>IF(ISBLANK(E17),"",SUM(E17:L17))</f>
        <v>6638389</v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>
        <f>IF(ISBLANK(AC17),"",SUM(AC17:AJ17))</f>
        <v>6636745</v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>
        <f>IF(ISBLANK(E18),"",SUM(E18:L18))</f>
        <v>9579630</v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>
        <f>IF(ISBLANK(AC18),"",SUM(AC18:AJ18))</f>
        <v>9577986</v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>
        <f>IF(ISBLANK(E19),"",SUM(E19:L19))</f>
        <v>13510924</v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>
        <f>IF(ISBLANK(AC19),"",SUM(AC19:AJ19))</f>
        <v>13509280</v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>
        <f>IF(ISBLANK(E20),"",SUM(E20:L20))</f>
        <v>17324470</v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>
        <f>IF(ISBLANK(AC20),"",SUM(AC20:AJ20))</f>
        <v>17322826</v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>
        <v>27.19622</v>
      </c>
      <c r="G33" s="189">
        <v>28.954166666666669</v>
      </c>
      <c r="H33" s="189">
        <v>0.94577999999999995</v>
      </c>
      <c r="I33" s="190">
        <v>0</v>
      </c>
      <c r="J33" s="190">
        <v>0</v>
      </c>
      <c r="K33" s="190">
        <v>0</v>
      </c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>
        <v>640.23699999999997</v>
      </c>
      <c r="Y33" s="209"/>
      <c r="Z33" s="272" t="s">
        <v>108</v>
      </c>
      <c r="AA33" s="186" t="s">
        <v>54</v>
      </c>
      <c r="AB33" s="187"/>
      <c r="AC33" s="188"/>
      <c r="AD33" s="189">
        <v>27.196215120000002</v>
      </c>
      <c r="AE33" s="189">
        <v>28.954166529999998</v>
      </c>
      <c r="AF33" s="189">
        <v>0.94577754000000003</v>
      </c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>
        <f t="shared" ref="AY33:BC37" si="6">IF(OR(AD33="",F33=""),"",AD33-F33)</f>
        <v>-4.8799999987636511E-6</v>
      </c>
      <c r="AZ33" s="89">
        <f t="shared" si="6"/>
        <v>-1.3666667086909001E-7</v>
      </c>
      <c r="BA33" s="89">
        <f t="shared" si="6"/>
        <v>-2.4599999999264099E-6</v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>
        <v>30.453013333333342</v>
      </c>
      <c r="G34" s="151">
        <v>32.824559999999998</v>
      </c>
      <c r="H34" s="151">
        <v>0.97032666666666667</v>
      </c>
      <c r="I34" s="55">
        <v>0</v>
      </c>
      <c r="J34" s="55">
        <v>0</v>
      </c>
      <c r="K34" s="55">
        <v>0</v>
      </c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>
        <v>647.32699999999988</v>
      </c>
      <c r="Y34" s="209"/>
      <c r="Z34" s="271"/>
      <c r="AA34" s="21" t="s">
        <v>55</v>
      </c>
      <c r="AB34" s="150"/>
      <c r="AC34" s="50"/>
      <c r="AD34" s="151">
        <v>30.45301422</v>
      </c>
      <c r="AE34" s="151">
        <v>32.824565020000001</v>
      </c>
      <c r="AF34" s="151">
        <v>0.97032218999999997</v>
      </c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>
        <f t="shared" si="6"/>
        <v>8.8666665831738101E-7</v>
      </c>
      <c r="AZ34" s="100">
        <f t="shared" si="6"/>
        <v>5.0200000032418757E-6</v>
      </c>
      <c r="BA34" s="100">
        <f t="shared" si="6"/>
        <v>-4.4766666666973265E-6</v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>
        <v>34.500453333333333</v>
      </c>
      <c r="G35" s="151">
        <v>38.282213333333331</v>
      </c>
      <c r="H35" s="151">
        <v>0.98659333333333343</v>
      </c>
      <c r="I35" s="55">
        <v>0</v>
      </c>
      <c r="J35" s="55">
        <v>0</v>
      </c>
      <c r="K35" s="55">
        <v>0</v>
      </c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>
        <v>653.20900000000006</v>
      </c>
      <c r="Y35" s="209"/>
      <c r="Z35" s="271"/>
      <c r="AA35" s="21" t="s">
        <v>56</v>
      </c>
      <c r="AB35" s="150"/>
      <c r="AC35" s="50"/>
      <c r="AD35" s="151">
        <v>34.500437269999999</v>
      </c>
      <c r="AE35" s="151">
        <v>38.282210599999999</v>
      </c>
      <c r="AF35" s="151">
        <v>0.98658572</v>
      </c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>
        <f t="shared" si="6"/>
        <v>-1.6063333333704577E-5</v>
      </c>
      <c r="AZ35" s="100">
        <f t="shared" si="6"/>
        <v>-2.733333332116672E-6</v>
      </c>
      <c r="BA35" s="100">
        <f t="shared" si="6"/>
        <v>-7.613333333433836E-6</v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>
        <v>36.634253333333326</v>
      </c>
      <c r="G36" s="151">
        <v>41.441673333333327</v>
      </c>
      <c r="H36" s="151">
        <v>0.99273333333333336</v>
      </c>
      <c r="I36" s="55">
        <v>0</v>
      </c>
      <c r="J36" s="55">
        <v>0</v>
      </c>
      <c r="K36" s="55">
        <v>0</v>
      </c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>
        <v>660.99900000000002</v>
      </c>
      <c r="Y36" s="209"/>
      <c r="Z36" s="271"/>
      <c r="AA36" s="21" t="s">
        <v>57</v>
      </c>
      <c r="AB36" s="150"/>
      <c r="AC36" s="50"/>
      <c r="AD36" s="151">
        <v>36.63425565</v>
      </c>
      <c r="AE36" s="151">
        <v>41.441682839999999</v>
      </c>
      <c r="AF36" s="151">
        <v>0.99273785999999997</v>
      </c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>
        <f t="shared" si="6"/>
        <v>2.3166666736074149E-6</v>
      </c>
      <c r="AZ36" s="100">
        <f t="shared" si="6"/>
        <v>9.5066666716547843E-6</v>
      </c>
      <c r="BA36" s="100">
        <f t="shared" si="6"/>
        <v>4.5266666666154975E-6</v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>
        <v>37.30777333333333</v>
      </c>
      <c r="G37" s="193">
        <v>42.221853333333343</v>
      </c>
      <c r="H37" s="193">
        <v>0.99438000000000004</v>
      </c>
      <c r="I37" s="170">
        <v>0</v>
      </c>
      <c r="J37" s="170">
        <v>0</v>
      </c>
      <c r="K37" s="170">
        <v>0</v>
      </c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>
        <v>667.99000000000012</v>
      </c>
      <c r="Y37" s="209"/>
      <c r="Z37" s="273"/>
      <c r="AA37" s="23" t="s">
        <v>58</v>
      </c>
      <c r="AB37" s="35"/>
      <c r="AC37" s="52"/>
      <c r="AD37" s="193">
        <v>37.307762869999998</v>
      </c>
      <c r="AE37" s="193">
        <v>42.221851389999998</v>
      </c>
      <c r="AF37" s="193">
        <v>0.99438722999999996</v>
      </c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>
        <f t="shared" si="6"/>
        <v>-1.0463333332211278E-5</v>
      </c>
      <c r="AZ37" s="102">
        <f t="shared" si="6"/>
        <v>-1.9433333449114798E-6</v>
      </c>
      <c r="BA37" s="102">
        <f t="shared" si="6"/>
        <v>7.2299999999136944E-6</v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M19" sqref="M19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21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cinema_track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cinema_track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>
        <f>E23</f>
        <v>3419358</v>
      </c>
      <c r="F5" s="84">
        <f t="shared" ref="F5:K9" si="0">IF(ISBLANK(F33),"",F33)</f>
        <v>29.842019047619051</v>
      </c>
      <c r="G5" s="84">
        <f t="shared" si="0"/>
        <v>31.65254761904762</v>
      </c>
      <c r="H5" s="84">
        <f t="shared" si="0"/>
        <v>0.96479047619047598</v>
      </c>
      <c r="I5" s="84">
        <f t="shared" si="0"/>
        <v>0</v>
      </c>
      <c r="J5" s="84">
        <f t="shared" si="0"/>
        <v>0</v>
      </c>
      <c r="K5" s="84">
        <f t="shared" si="0"/>
        <v>0</v>
      </c>
      <c r="L5" s="49"/>
      <c r="M5" s="49"/>
      <c r="N5" s="20"/>
      <c r="O5" s="50"/>
      <c r="P5" s="107">
        <f t="shared" ref="P5:W9" si="1">IF(ISBLANK(P16),"",P16)</f>
        <v>25.045000000000002</v>
      </c>
      <c r="Q5" s="125">
        <f t="shared" si="1"/>
        <v>9.0649999999999995</v>
      </c>
      <c r="R5" s="107">
        <f t="shared" si="1"/>
        <v>12.692</v>
      </c>
      <c r="S5" s="125">
        <f t="shared" si="1"/>
        <v>0.38100000000000001</v>
      </c>
      <c r="T5" s="107">
        <f t="shared" si="1"/>
        <v>23.376000000000001</v>
      </c>
      <c r="U5" s="125">
        <f t="shared" si="1"/>
        <v>9.011000000000001</v>
      </c>
      <c r="V5" s="107">
        <f t="shared" si="1"/>
        <v>509712</v>
      </c>
      <c r="W5" s="125">
        <f t="shared" si="1"/>
        <v>302912</v>
      </c>
      <c r="X5" s="109">
        <f>IF(ISBLANK(X33),"",X33)</f>
        <v>746.89199999999994</v>
      </c>
      <c r="Y5" s="209"/>
      <c r="Z5" s="270"/>
      <c r="AA5" s="19" t="s">
        <v>54</v>
      </c>
      <c r="AB5" s="20"/>
      <c r="AC5" s="104">
        <f>AC23</f>
        <v>3417432</v>
      </c>
      <c r="AD5" s="24">
        <f t="shared" ref="AD5:AI9" si="2">IF(ISBLANK(AD33),"",AD33)</f>
        <v>29.84202256</v>
      </c>
      <c r="AE5" s="24">
        <f t="shared" si="2"/>
        <v>31.65254448</v>
      </c>
      <c r="AF5" s="24">
        <f t="shared" si="2"/>
        <v>0.96479165</v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>
        <f t="shared" ref="AN5:AU9" si="3">IF(ISBLANK(AN16),"",AN16)</f>
        <v>39.968000000000004</v>
      </c>
      <c r="AO5" s="125">
        <f t="shared" si="3"/>
        <v>11.855</v>
      </c>
      <c r="AP5" s="107">
        <f t="shared" si="3"/>
        <v>22.792999999999999</v>
      </c>
      <c r="AQ5" s="125">
        <f t="shared" si="3"/>
        <v>0.70199999999999996</v>
      </c>
      <c r="AR5" s="107">
        <f t="shared" si="3"/>
        <v>13.548</v>
      </c>
      <c r="AS5" s="125">
        <f t="shared" si="3"/>
        <v>11.08</v>
      </c>
      <c r="AT5" s="107">
        <f t="shared" si="3"/>
        <v>921692</v>
      </c>
      <c r="AU5" s="125">
        <f t="shared" si="3"/>
        <v>301660</v>
      </c>
      <c r="AV5" s="109" t="str">
        <f>IF(ISBLANK(AV33),"",AV33)</f>
        <v/>
      </c>
      <c r="AW5" s="88"/>
      <c r="AX5" s="131"/>
      <c r="AY5" s="234">
        <f>bdRateExtend($E5:$E9,F5:F9,$AC5:$AC9,AD5:AD9)</f>
        <v>-3.2738559772271802E-4</v>
      </c>
      <c r="AZ5" s="234">
        <f>bdRateExtend($E5:$E9,G5:G9,$AC5:$AC9,AE5:AE9)</f>
        <v>-3.2209031653762654E-4</v>
      </c>
      <c r="BA5" s="234">
        <f>bdRateExtend($E5:$E9,H5:H9,$AC5:$AC9,AF5:AF9)</f>
        <v>-2.4574441204794351E-4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>
        <f>E24</f>
        <v>4953670</v>
      </c>
      <c r="F6" s="84">
        <f t="shared" si="0"/>
        <v>32.659209523809523</v>
      </c>
      <c r="G6" s="84">
        <f t="shared" si="0"/>
        <v>35.305909523809518</v>
      </c>
      <c r="H6" s="84">
        <f t="shared" si="0"/>
        <v>0.98080476190476196</v>
      </c>
      <c r="I6" s="84">
        <f t="shared" si="0"/>
        <v>0</v>
      </c>
      <c r="J6" s="84">
        <f t="shared" si="0"/>
        <v>0</v>
      </c>
      <c r="K6" s="84">
        <f t="shared" si="0"/>
        <v>0</v>
      </c>
      <c r="L6" s="50"/>
      <c r="M6" s="50"/>
      <c r="N6" s="22"/>
      <c r="O6" s="50"/>
      <c r="P6" s="107">
        <f t="shared" si="1"/>
        <v>25.423999999999999</v>
      </c>
      <c r="Q6" s="107">
        <f t="shared" si="1"/>
        <v>9.1370000000000005</v>
      </c>
      <c r="R6" s="107">
        <f t="shared" si="1"/>
        <v>12.693</v>
      </c>
      <c r="S6" s="107">
        <f t="shared" si="1"/>
        <v>0.36499999999999999</v>
      </c>
      <c r="T6" s="107">
        <f t="shared" si="1"/>
        <v>23.754999999999981</v>
      </c>
      <c r="U6" s="107">
        <f t="shared" si="1"/>
        <v>9.083000000000002</v>
      </c>
      <c r="V6" s="107">
        <f t="shared" si="1"/>
        <v>509704</v>
      </c>
      <c r="W6" s="107">
        <f t="shared" si="1"/>
        <v>302964</v>
      </c>
      <c r="X6" s="109">
        <f>IF(ISBLANK(X34),"",X34)</f>
        <v>747.07100000000003</v>
      </c>
      <c r="Y6" s="209"/>
      <c r="Z6" s="271"/>
      <c r="AA6" s="21" t="s">
        <v>55</v>
      </c>
      <c r="AB6" s="22"/>
      <c r="AC6" s="129">
        <f>AC24</f>
        <v>4951744</v>
      </c>
      <c r="AD6" s="84">
        <f t="shared" si="2"/>
        <v>32.659213770000001</v>
      </c>
      <c r="AE6" s="84">
        <f t="shared" si="2"/>
        <v>35.30590557</v>
      </c>
      <c r="AF6" s="84">
        <f t="shared" si="2"/>
        <v>0.98081039999999997</v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>
        <f t="shared" si="3"/>
        <v>41.542999999999999</v>
      </c>
      <c r="AO6" s="107">
        <f t="shared" si="3"/>
        <v>12.032999999999999</v>
      </c>
      <c r="AP6" s="107">
        <f t="shared" si="3"/>
        <v>23.402000000000001</v>
      </c>
      <c r="AQ6" s="107">
        <f t="shared" si="3"/>
        <v>0.7</v>
      </c>
      <c r="AR6" s="107">
        <f t="shared" si="3"/>
        <v>14.407000000000011</v>
      </c>
      <c r="AS6" s="107">
        <f t="shared" si="3"/>
        <v>11.259</v>
      </c>
      <c r="AT6" s="107">
        <f t="shared" si="3"/>
        <v>917844</v>
      </c>
      <c r="AU6" s="107">
        <f t="shared" si="3"/>
        <v>302256</v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>
        <f>E25</f>
        <v>7431194</v>
      </c>
      <c r="F7" s="84">
        <f t="shared" si="0"/>
        <v>35.404100000000007</v>
      </c>
      <c r="G7" s="84">
        <f t="shared" si="0"/>
        <v>39.796204761904761</v>
      </c>
      <c r="H7" s="84">
        <f t="shared" si="0"/>
        <v>0.99094761904761897</v>
      </c>
      <c r="I7" s="84">
        <f t="shared" si="0"/>
        <v>0</v>
      </c>
      <c r="J7" s="84">
        <f t="shared" si="0"/>
        <v>0</v>
      </c>
      <c r="K7" s="84">
        <f t="shared" si="0"/>
        <v>0</v>
      </c>
      <c r="L7" s="50"/>
      <c r="M7" s="50"/>
      <c r="N7" s="22"/>
      <c r="O7" s="50"/>
      <c r="P7" s="107">
        <f t="shared" si="1"/>
        <v>26.007999999999999</v>
      </c>
      <c r="Q7" s="107">
        <f t="shared" si="1"/>
        <v>9.2629999999999999</v>
      </c>
      <c r="R7" s="107">
        <f t="shared" si="1"/>
        <v>12.994999999999999</v>
      </c>
      <c r="S7" s="107">
        <f t="shared" si="1"/>
        <v>0.36099999999999999</v>
      </c>
      <c r="T7" s="107">
        <f t="shared" si="1"/>
        <v>24.33</v>
      </c>
      <c r="U7" s="107">
        <f t="shared" si="1"/>
        <v>9.211999999999998</v>
      </c>
      <c r="V7" s="107">
        <f t="shared" si="1"/>
        <v>509704</v>
      </c>
      <c r="W7" s="107">
        <f t="shared" si="1"/>
        <v>303016</v>
      </c>
      <c r="X7" s="109">
        <f>IF(ISBLANK(X35),"",X35)</f>
        <v>754.6110000000001</v>
      </c>
      <c r="Y7" s="209"/>
      <c r="Z7" s="271"/>
      <c r="AA7" s="21" t="s">
        <v>56</v>
      </c>
      <c r="AB7" s="22"/>
      <c r="AC7" s="129">
        <f>AC25</f>
        <v>7429268</v>
      </c>
      <c r="AD7" s="84">
        <f t="shared" si="2"/>
        <v>35.404095179999999</v>
      </c>
      <c r="AE7" s="84">
        <f t="shared" si="2"/>
        <v>39.796196100000003</v>
      </c>
      <c r="AF7" s="84">
        <f t="shared" si="2"/>
        <v>0.99094115999999999</v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>
        <f t="shared" si="3"/>
        <v>40.442</v>
      </c>
      <c r="AO7" s="107">
        <f t="shared" si="3"/>
        <v>12.215999999999999</v>
      </c>
      <c r="AP7" s="107">
        <f t="shared" si="3"/>
        <v>22.81</v>
      </c>
      <c r="AQ7" s="107">
        <f t="shared" si="3"/>
        <v>0.70099999999999996</v>
      </c>
      <c r="AR7" s="107">
        <f t="shared" si="3"/>
        <v>14.01</v>
      </c>
      <c r="AS7" s="107">
        <f t="shared" si="3"/>
        <v>11.44</v>
      </c>
      <c r="AT7" s="107">
        <f t="shared" si="3"/>
        <v>922320</v>
      </c>
      <c r="AU7" s="107">
        <f t="shared" si="3"/>
        <v>301868</v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>
        <f>E26</f>
        <v>10795602</v>
      </c>
      <c r="F8" s="84">
        <f t="shared" si="0"/>
        <v>37.646438095238103</v>
      </c>
      <c r="G8" s="84">
        <f t="shared" si="0"/>
        <v>43.268876190476192</v>
      </c>
      <c r="H8" s="84">
        <f t="shared" si="0"/>
        <v>0.99534285714285731</v>
      </c>
      <c r="I8" s="84">
        <f t="shared" si="0"/>
        <v>0</v>
      </c>
      <c r="J8" s="84">
        <f t="shared" si="0"/>
        <v>0</v>
      </c>
      <c r="K8" s="84">
        <f t="shared" si="0"/>
        <v>0</v>
      </c>
      <c r="L8" s="50"/>
      <c r="M8" s="50"/>
      <c r="N8" s="22"/>
      <c r="O8" s="50"/>
      <c r="P8" s="107">
        <f t="shared" si="1"/>
        <v>25.93</v>
      </c>
      <c r="Q8" s="107">
        <f t="shared" si="1"/>
        <v>9.7029999999999994</v>
      </c>
      <c r="R8" s="107">
        <f t="shared" si="1"/>
        <v>12.77</v>
      </c>
      <c r="S8" s="107">
        <f t="shared" si="1"/>
        <v>0.33800000000000002</v>
      </c>
      <c r="T8" s="107">
        <f t="shared" si="1"/>
        <v>24.219000000000001</v>
      </c>
      <c r="U8" s="107">
        <f t="shared" si="1"/>
        <v>9.6499999999999986</v>
      </c>
      <c r="V8" s="107">
        <f t="shared" si="1"/>
        <v>509804</v>
      </c>
      <c r="W8" s="107">
        <f t="shared" si="1"/>
        <v>302888</v>
      </c>
      <c r="X8" s="109">
        <f>IF(ISBLANK(X36),"",X36)</f>
        <v>754.46399999999994</v>
      </c>
      <c r="Y8" s="209"/>
      <c r="Z8" s="271"/>
      <c r="AA8" s="21" t="s">
        <v>57</v>
      </c>
      <c r="AB8" s="22"/>
      <c r="AC8" s="129">
        <f>AC26</f>
        <v>10793676</v>
      </c>
      <c r="AD8" s="84">
        <f t="shared" si="2"/>
        <v>37.646431530000001</v>
      </c>
      <c r="AE8" s="84">
        <f t="shared" si="2"/>
        <v>43.268869199999997</v>
      </c>
      <c r="AF8" s="84">
        <f t="shared" si="2"/>
        <v>0.99532989999999999</v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>
        <f t="shared" si="3"/>
        <v>40.869</v>
      </c>
      <c r="AO8" s="107">
        <f t="shared" si="3"/>
        <v>12.573</v>
      </c>
      <c r="AP8" s="107">
        <f t="shared" si="3"/>
        <v>22.8</v>
      </c>
      <c r="AQ8" s="107">
        <f t="shared" si="3"/>
        <v>0.70399999999999996</v>
      </c>
      <c r="AR8" s="107">
        <f t="shared" si="3"/>
        <v>14.436</v>
      </c>
      <c r="AS8" s="107">
        <f t="shared" si="3"/>
        <v>11.792</v>
      </c>
      <c r="AT8" s="107">
        <f t="shared" si="3"/>
        <v>921032</v>
      </c>
      <c r="AU8" s="107">
        <f t="shared" si="3"/>
        <v>300948</v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>
        <f>E27</f>
        <v>13983369</v>
      </c>
      <c r="F9" s="28">
        <f t="shared" si="0"/>
        <v>38.519909523809531</v>
      </c>
      <c r="G9" s="28">
        <f t="shared" si="0"/>
        <v>44.310923809523807</v>
      </c>
      <c r="H9" s="28">
        <f t="shared" si="0"/>
        <v>0.99637619047619064</v>
      </c>
      <c r="I9" s="28">
        <f t="shared" si="0"/>
        <v>0</v>
      </c>
      <c r="J9" s="28">
        <f t="shared" si="0"/>
        <v>0</v>
      </c>
      <c r="K9" s="28">
        <f t="shared" si="0"/>
        <v>0</v>
      </c>
      <c r="L9" s="50"/>
      <c r="M9" s="50"/>
      <c r="N9" s="22"/>
      <c r="O9" s="50"/>
      <c r="P9" s="107">
        <f t="shared" si="1"/>
        <v>26.061</v>
      </c>
      <c r="Q9" s="107">
        <f t="shared" si="1"/>
        <v>9.8130000000000006</v>
      </c>
      <c r="R9" s="107">
        <f t="shared" si="1"/>
        <v>12.749000000000001</v>
      </c>
      <c r="S9" s="107">
        <f t="shared" si="1"/>
        <v>0.36</v>
      </c>
      <c r="T9" s="107">
        <f t="shared" si="1"/>
        <v>24.432000000000009</v>
      </c>
      <c r="U9" s="107">
        <f t="shared" si="1"/>
        <v>9.7459999999999987</v>
      </c>
      <c r="V9" s="107">
        <f t="shared" si="1"/>
        <v>509760</v>
      </c>
      <c r="W9" s="107">
        <f t="shared" si="1"/>
        <v>304684</v>
      </c>
      <c r="X9" s="109">
        <f>IF(ISBLANK(X37),"",X37)</f>
        <v>756.99799999999993</v>
      </c>
      <c r="Y9" s="209"/>
      <c r="Z9" s="271"/>
      <c r="AA9" s="21" t="s">
        <v>58</v>
      </c>
      <c r="AB9" s="22"/>
      <c r="AC9" s="129">
        <f>AC27</f>
        <v>13981443</v>
      </c>
      <c r="AD9" s="84">
        <f t="shared" si="2"/>
        <v>38.519917839999998</v>
      </c>
      <c r="AE9" s="84">
        <f t="shared" si="2"/>
        <v>44.310927599999999</v>
      </c>
      <c r="AF9" s="84">
        <f t="shared" si="2"/>
        <v>0.99637193000000002</v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>
        <f t="shared" si="3"/>
        <v>42.875999999999998</v>
      </c>
      <c r="AO9" s="107">
        <f t="shared" si="3"/>
        <v>12.981</v>
      </c>
      <c r="AP9" s="107">
        <f t="shared" si="3"/>
        <v>23.648</v>
      </c>
      <c r="AQ9" s="107">
        <f t="shared" si="3"/>
        <v>0.69599999999999995</v>
      </c>
      <c r="AR9" s="107">
        <f t="shared" si="3"/>
        <v>15.452999999999999</v>
      </c>
      <c r="AS9" s="107">
        <f t="shared" si="3"/>
        <v>12.214</v>
      </c>
      <c r="AT9" s="107">
        <f t="shared" si="3"/>
        <v>919756</v>
      </c>
      <c r="AU9" s="107">
        <f t="shared" si="3"/>
        <v>301912</v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>
        <v>565005</v>
      </c>
      <c r="F16" s="106">
        <v>729495</v>
      </c>
      <c r="G16" s="138">
        <v>89826</v>
      </c>
      <c r="H16" s="138">
        <v>27364</v>
      </c>
      <c r="I16" s="138">
        <v>76297</v>
      </c>
      <c r="J16" s="138">
        <v>1071414</v>
      </c>
      <c r="K16" s="54">
        <v>628003</v>
      </c>
      <c r="L16" s="54">
        <v>231954</v>
      </c>
      <c r="M16" s="54"/>
      <c r="N16" s="49"/>
      <c r="O16" s="245"/>
      <c r="P16" s="152">
        <v>25.045000000000002</v>
      </c>
      <c r="Q16" s="152">
        <v>9.0649999999999995</v>
      </c>
      <c r="R16" s="152">
        <v>12.692</v>
      </c>
      <c r="S16" s="152">
        <v>0.38100000000000001</v>
      </c>
      <c r="T16" s="152">
        <v>23.376000000000001</v>
      </c>
      <c r="U16" s="152">
        <v>9.011000000000001</v>
      </c>
      <c r="V16" s="152">
        <v>509712</v>
      </c>
      <c r="W16" s="152">
        <v>302912</v>
      </c>
      <c r="X16" s="118"/>
      <c r="Y16" s="209"/>
      <c r="Z16" s="285"/>
      <c r="AA16" s="19" t="s">
        <v>54</v>
      </c>
      <c r="AB16" s="20"/>
      <c r="AC16" s="106">
        <v>563079</v>
      </c>
      <c r="AD16" s="106">
        <v>729495</v>
      </c>
      <c r="AE16" s="138">
        <v>89826</v>
      </c>
      <c r="AF16" s="138">
        <v>27364</v>
      </c>
      <c r="AG16" s="138">
        <v>76297</v>
      </c>
      <c r="AH16" s="138">
        <v>1071414</v>
      </c>
      <c r="AI16" s="54">
        <v>628003</v>
      </c>
      <c r="AJ16" s="54">
        <v>231954</v>
      </c>
      <c r="AK16" s="54">
        <v>980</v>
      </c>
      <c r="AL16" s="49"/>
      <c r="AM16" s="245"/>
      <c r="AN16" s="152">
        <v>39.968000000000004</v>
      </c>
      <c r="AO16" s="152">
        <v>11.855</v>
      </c>
      <c r="AP16" s="152">
        <v>22.792999999999999</v>
      </c>
      <c r="AQ16" s="152">
        <v>0.70199999999999996</v>
      </c>
      <c r="AR16" s="152">
        <v>13.548</v>
      </c>
      <c r="AS16" s="152">
        <v>11.08</v>
      </c>
      <c r="AT16" s="152">
        <v>921692</v>
      </c>
      <c r="AU16" s="152">
        <v>301660</v>
      </c>
      <c r="AV16" s="118"/>
      <c r="AW16" s="88"/>
      <c r="AX16" s="155">
        <f t="shared" ref="AX16:BE19" si="4">AN16/P16</f>
        <v>1.5958474745458175</v>
      </c>
      <c r="AY16" s="194">
        <f t="shared" si="4"/>
        <v>1.3077771649200223</v>
      </c>
      <c r="AZ16" s="155">
        <f t="shared" si="4"/>
        <v>1.7958556571068389</v>
      </c>
      <c r="BA16" s="194">
        <f t="shared" si="4"/>
        <v>1.8425196850393699</v>
      </c>
      <c r="BB16" s="155">
        <f t="shared" si="4"/>
        <v>0.57956878850102667</v>
      </c>
      <c r="BC16" s="194">
        <f t="shared" si="4"/>
        <v>1.2296082565752968</v>
      </c>
      <c r="BD16" s="155">
        <f t="shared" si="4"/>
        <v>1.8082603509432777</v>
      </c>
      <c r="BE16" s="194">
        <f t="shared" si="4"/>
        <v>0.99586678639340798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>
        <v>565005</v>
      </c>
      <c r="F17" s="119">
        <v>962334</v>
      </c>
      <c r="G17" s="139">
        <v>327198</v>
      </c>
      <c r="H17" s="139">
        <v>157773</v>
      </c>
      <c r="I17" s="139">
        <v>389208</v>
      </c>
      <c r="J17" s="139">
        <v>1386774</v>
      </c>
      <c r="K17" s="55">
        <v>857981</v>
      </c>
      <c r="L17" s="55">
        <v>307397</v>
      </c>
      <c r="M17" s="55"/>
      <c r="N17" s="50"/>
      <c r="O17" s="233"/>
      <c r="P17" s="153">
        <v>25.423999999999999</v>
      </c>
      <c r="Q17" s="153">
        <v>9.1370000000000005</v>
      </c>
      <c r="R17" s="153">
        <v>12.693</v>
      </c>
      <c r="S17" s="153">
        <v>0.36499999999999999</v>
      </c>
      <c r="T17" s="153">
        <v>23.754999999999981</v>
      </c>
      <c r="U17" s="153">
        <v>9.083000000000002</v>
      </c>
      <c r="V17" s="153">
        <v>509704</v>
      </c>
      <c r="W17" s="153">
        <v>302964</v>
      </c>
      <c r="X17" s="120"/>
      <c r="Y17" s="209"/>
      <c r="Z17" s="271"/>
      <c r="AA17" s="21" t="s">
        <v>55</v>
      </c>
      <c r="AB17" s="22"/>
      <c r="AC17" s="119">
        <v>563079</v>
      </c>
      <c r="AD17" s="119">
        <v>962334</v>
      </c>
      <c r="AE17" s="139">
        <v>327198</v>
      </c>
      <c r="AF17" s="139">
        <v>157773</v>
      </c>
      <c r="AG17" s="139">
        <v>389208</v>
      </c>
      <c r="AH17" s="139">
        <v>1386774</v>
      </c>
      <c r="AI17" s="55">
        <v>857981</v>
      </c>
      <c r="AJ17" s="55">
        <v>307397</v>
      </c>
      <c r="AK17" s="55">
        <v>979</v>
      </c>
      <c r="AL17" s="50"/>
      <c r="AM17" s="233"/>
      <c r="AN17" s="153">
        <v>41.542999999999999</v>
      </c>
      <c r="AO17" s="153">
        <v>12.032999999999999</v>
      </c>
      <c r="AP17" s="153">
        <v>23.402000000000001</v>
      </c>
      <c r="AQ17" s="153">
        <v>0.7</v>
      </c>
      <c r="AR17" s="153">
        <v>14.407000000000011</v>
      </c>
      <c r="AS17" s="153">
        <v>11.259</v>
      </c>
      <c r="AT17" s="153">
        <v>917844</v>
      </c>
      <c r="AU17" s="153">
        <v>302256</v>
      </c>
      <c r="AV17" s="120"/>
      <c r="AW17" s="88"/>
      <c r="AX17" s="156">
        <f t="shared" si="4"/>
        <v>1.6340072372561358</v>
      </c>
      <c r="AY17" s="157">
        <f t="shared" si="4"/>
        <v>1.3169530480464047</v>
      </c>
      <c r="AZ17" s="156">
        <f t="shared" si="4"/>
        <v>1.8436933743007959</v>
      </c>
      <c r="BA17" s="157">
        <f t="shared" si="4"/>
        <v>1.9178082191780821</v>
      </c>
      <c r="BB17" s="156">
        <f t="shared" si="4"/>
        <v>0.6064828457166922</v>
      </c>
      <c r="BC17" s="157">
        <f t="shared" si="4"/>
        <v>1.2395684245293404</v>
      </c>
      <c r="BD17" s="156">
        <f t="shared" si="4"/>
        <v>1.8007392525858146</v>
      </c>
      <c r="BE17" s="157">
        <f t="shared" si="4"/>
        <v>0.99766308868380404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>
        <v>565005</v>
      </c>
      <c r="F18" s="119">
        <v>1204053</v>
      </c>
      <c r="G18" s="139">
        <v>755623</v>
      </c>
      <c r="H18" s="139">
        <v>525217</v>
      </c>
      <c r="I18" s="139">
        <v>1186407</v>
      </c>
      <c r="J18" s="139">
        <v>1711842</v>
      </c>
      <c r="K18" s="55">
        <v>1097861</v>
      </c>
      <c r="L18" s="55">
        <v>385186</v>
      </c>
      <c r="M18" s="55"/>
      <c r="N18" s="50"/>
      <c r="O18" s="233"/>
      <c r="P18" s="153">
        <v>26.007999999999999</v>
      </c>
      <c r="Q18" s="153">
        <v>9.2629999999999999</v>
      </c>
      <c r="R18" s="153">
        <v>12.994999999999999</v>
      </c>
      <c r="S18" s="153">
        <v>0.36099999999999999</v>
      </c>
      <c r="T18" s="153">
        <v>24.33</v>
      </c>
      <c r="U18" s="153">
        <v>9.211999999999998</v>
      </c>
      <c r="V18" s="153">
        <v>509704</v>
      </c>
      <c r="W18" s="153">
        <v>303016</v>
      </c>
      <c r="X18" s="120"/>
      <c r="Y18" s="209"/>
      <c r="Z18" s="271"/>
      <c r="AA18" s="21" t="s">
        <v>56</v>
      </c>
      <c r="AB18" s="22"/>
      <c r="AC18" s="119">
        <v>563079</v>
      </c>
      <c r="AD18" s="119">
        <v>1204053</v>
      </c>
      <c r="AE18" s="139">
        <v>755623</v>
      </c>
      <c r="AF18" s="139">
        <v>525217</v>
      </c>
      <c r="AG18" s="139">
        <v>1186407</v>
      </c>
      <c r="AH18" s="139">
        <v>1711842</v>
      </c>
      <c r="AI18" s="55">
        <v>1097861</v>
      </c>
      <c r="AJ18" s="55">
        <v>385186</v>
      </c>
      <c r="AK18" s="55">
        <v>977</v>
      </c>
      <c r="AL18" s="50"/>
      <c r="AM18" s="233"/>
      <c r="AN18" s="153">
        <v>40.442</v>
      </c>
      <c r="AO18" s="153">
        <v>12.215999999999999</v>
      </c>
      <c r="AP18" s="153">
        <v>22.81</v>
      </c>
      <c r="AQ18" s="153">
        <v>0.70099999999999996</v>
      </c>
      <c r="AR18" s="153">
        <v>14.01</v>
      </c>
      <c r="AS18" s="153">
        <v>11.44</v>
      </c>
      <c r="AT18" s="153">
        <v>922320</v>
      </c>
      <c r="AU18" s="153">
        <v>301868</v>
      </c>
      <c r="AV18" s="120"/>
      <c r="AW18" s="88"/>
      <c r="AX18" s="156">
        <f t="shared" si="4"/>
        <v>1.5549830821285759</v>
      </c>
      <c r="AY18" s="157">
        <f t="shared" si="4"/>
        <v>1.3187952067364783</v>
      </c>
      <c r="AZ18" s="156">
        <f t="shared" si="4"/>
        <v>1.755290496344748</v>
      </c>
      <c r="BA18" s="157">
        <f t="shared" si="4"/>
        <v>1.9418282548476453</v>
      </c>
      <c r="BB18" s="156">
        <f t="shared" si="4"/>
        <v>0.57583230579531441</v>
      </c>
      <c r="BC18" s="157">
        <f t="shared" si="4"/>
        <v>1.2418584455058621</v>
      </c>
      <c r="BD18" s="156">
        <f t="shared" si="4"/>
        <v>1.8095208199268595</v>
      </c>
      <c r="BE18" s="157">
        <f t="shared" si="4"/>
        <v>0.99621142117907968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>
        <v>565005</v>
      </c>
      <c r="F19" s="119">
        <v>1369446</v>
      </c>
      <c r="G19" s="139">
        <v>1328365</v>
      </c>
      <c r="H19" s="139">
        <v>1148744</v>
      </c>
      <c r="I19" s="139">
        <v>2517014</v>
      </c>
      <c r="J19" s="139">
        <v>2050463</v>
      </c>
      <c r="K19" s="55">
        <v>1350572</v>
      </c>
      <c r="L19" s="55">
        <v>465993</v>
      </c>
      <c r="M19" s="55"/>
      <c r="N19" s="50"/>
      <c r="O19" s="233"/>
      <c r="P19" s="153">
        <v>25.93</v>
      </c>
      <c r="Q19" s="153">
        <v>9.7029999999999994</v>
      </c>
      <c r="R19" s="153">
        <v>12.77</v>
      </c>
      <c r="S19" s="153">
        <v>0.33800000000000002</v>
      </c>
      <c r="T19" s="153">
        <v>24.219000000000001</v>
      </c>
      <c r="U19" s="153">
        <v>9.6499999999999986</v>
      </c>
      <c r="V19" s="153">
        <v>509804</v>
      </c>
      <c r="W19" s="153">
        <v>302888</v>
      </c>
      <c r="X19" s="120"/>
      <c r="Y19" s="209"/>
      <c r="Z19" s="271"/>
      <c r="AA19" s="21" t="s">
        <v>57</v>
      </c>
      <c r="AB19" s="22"/>
      <c r="AC19" s="119">
        <v>563079</v>
      </c>
      <c r="AD19" s="119">
        <v>1369446</v>
      </c>
      <c r="AE19" s="139">
        <v>1328365</v>
      </c>
      <c r="AF19" s="139">
        <v>1148744</v>
      </c>
      <c r="AG19" s="139">
        <v>2517014</v>
      </c>
      <c r="AH19" s="139">
        <v>2050463</v>
      </c>
      <c r="AI19" s="55">
        <v>1350572</v>
      </c>
      <c r="AJ19" s="55">
        <v>465993</v>
      </c>
      <c r="AK19" s="55">
        <v>961</v>
      </c>
      <c r="AL19" s="50"/>
      <c r="AM19" s="233"/>
      <c r="AN19" s="153">
        <v>40.869</v>
      </c>
      <c r="AO19" s="153">
        <v>12.573</v>
      </c>
      <c r="AP19" s="153">
        <v>22.8</v>
      </c>
      <c r="AQ19" s="153">
        <v>0.70399999999999996</v>
      </c>
      <c r="AR19" s="153">
        <v>14.436</v>
      </c>
      <c r="AS19" s="153">
        <v>11.792</v>
      </c>
      <c r="AT19" s="153">
        <v>921032</v>
      </c>
      <c r="AU19" s="153">
        <v>300948</v>
      </c>
      <c r="AV19" s="120"/>
      <c r="AW19" s="88"/>
      <c r="AX19" s="156">
        <f t="shared" si="4"/>
        <v>1.5761280370227535</v>
      </c>
      <c r="AY19" s="157">
        <f t="shared" si="4"/>
        <v>1.2957848088220139</v>
      </c>
      <c r="AZ19" s="156">
        <f t="shared" si="4"/>
        <v>1.7854346123727487</v>
      </c>
      <c r="BA19" s="157">
        <f t="shared" si="4"/>
        <v>2.0828402366863901</v>
      </c>
      <c r="BB19" s="156">
        <f t="shared" si="4"/>
        <v>0.59606094388703079</v>
      </c>
      <c r="BC19" s="157">
        <f t="shared" si="4"/>
        <v>1.2219689119170987</v>
      </c>
      <c r="BD19" s="156">
        <f t="shared" si="4"/>
        <v>1.806639414363167</v>
      </c>
      <c r="BE19" s="157">
        <f t="shared" si="4"/>
        <v>0.99359499220834102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>
        <v>565005</v>
      </c>
      <c r="F20" s="171">
        <v>1434988</v>
      </c>
      <c r="G20" s="139">
        <v>1739658</v>
      </c>
      <c r="H20" s="139">
        <v>1804410</v>
      </c>
      <c r="I20" s="139">
        <v>3882056</v>
      </c>
      <c r="J20" s="139">
        <v>2397258</v>
      </c>
      <c r="K20" s="55">
        <v>1610572</v>
      </c>
      <c r="L20" s="55">
        <v>549422</v>
      </c>
      <c r="M20" s="55"/>
      <c r="N20" s="50"/>
      <c r="O20" s="233"/>
      <c r="P20" s="153">
        <v>26.061</v>
      </c>
      <c r="Q20" s="153">
        <v>9.8130000000000006</v>
      </c>
      <c r="R20" s="153">
        <v>12.749000000000001</v>
      </c>
      <c r="S20" s="153">
        <v>0.36</v>
      </c>
      <c r="T20" s="153">
        <v>24.432000000000009</v>
      </c>
      <c r="U20" s="153">
        <v>9.7459999999999987</v>
      </c>
      <c r="V20" s="153">
        <v>509760</v>
      </c>
      <c r="W20" s="153">
        <v>304684</v>
      </c>
      <c r="X20" s="121"/>
      <c r="Y20" s="209"/>
      <c r="Z20" s="271"/>
      <c r="AA20" s="23" t="s">
        <v>58</v>
      </c>
      <c r="AB20" s="31"/>
      <c r="AC20" s="171">
        <v>563079</v>
      </c>
      <c r="AD20" s="171">
        <v>1434988</v>
      </c>
      <c r="AE20" s="139">
        <v>1739658</v>
      </c>
      <c r="AF20" s="139">
        <v>1804410</v>
      </c>
      <c r="AG20" s="139">
        <v>3882056</v>
      </c>
      <c r="AH20" s="139">
        <v>2397258</v>
      </c>
      <c r="AI20" s="55">
        <v>1610572</v>
      </c>
      <c r="AJ20" s="55">
        <v>549422</v>
      </c>
      <c r="AK20" s="55">
        <v>948</v>
      </c>
      <c r="AL20" s="50"/>
      <c r="AM20" s="233"/>
      <c r="AN20" s="153">
        <v>42.875999999999998</v>
      </c>
      <c r="AO20" s="153">
        <v>12.981</v>
      </c>
      <c r="AP20" s="153">
        <v>23.648</v>
      </c>
      <c r="AQ20" s="153">
        <v>0.69599999999999995</v>
      </c>
      <c r="AR20" s="153">
        <v>15.452999999999999</v>
      </c>
      <c r="AS20" s="153">
        <v>12.214</v>
      </c>
      <c r="AT20" s="153">
        <v>919756</v>
      </c>
      <c r="AU20" s="153">
        <v>301912</v>
      </c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>
        <f t="shared" ref="AX21:BE21" si="5">GEOMEAN(AX16:AX19)</f>
        <v>1.5899762231634496</v>
      </c>
      <c r="AY21" s="161">
        <f t="shared" si="5"/>
        <v>1.3097957335807238</v>
      </c>
      <c r="AZ21" s="160">
        <f t="shared" si="5"/>
        <v>1.7947884592877026</v>
      </c>
      <c r="BA21" s="161">
        <f t="shared" si="5"/>
        <v>1.9443346765391456</v>
      </c>
      <c r="BB21" s="160">
        <f t="shared" si="5"/>
        <v>0.589355784996482</v>
      </c>
      <c r="BC21" s="161">
        <f t="shared" si="5"/>
        <v>1.2332251755222765</v>
      </c>
      <c r="BD21" s="160">
        <f t="shared" si="5"/>
        <v>1.806286824484248</v>
      </c>
      <c r="BE21" s="161">
        <f t="shared" si="5"/>
        <v>0.99583300446343748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>
        <f>IF(ISBLANK(E16),"",SUM(E16:L16))</f>
        <v>3419358</v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>
        <f>IF(ISBLANK(AC16),"",SUM(AC16:AJ16))</f>
        <v>3417432</v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>
        <f>IF(ISBLANK(E17),"",SUM(E17:L17))</f>
        <v>4953670</v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>
        <f>IF(ISBLANK(AC17),"",SUM(AC17:AJ17))</f>
        <v>4951744</v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>
        <f>IF(ISBLANK(E18),"",SUM(E18:L18))</f>
        <v>7431194</v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>
        <f>IF(ISBLANK(AC18),"",SUM(AC18:AJ18))</f>
        <v>7429268</v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>
        <f>IF(ISBLANK(E19),"",SUM(E19:L19))</f>
        <v>10795602</v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>
        <f>IF(ISBLANK(AC19),"",SUM(AC19:AJ19))</f>
        <v>10793676</v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>
        <f>IF(ISBLANK(E20),"",SUM(E20:L20))</f>
        <v>13983369</v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>
        <f>IF(ISBLANK(AC20),"",SUM(AC20:AJ20))</f>
        <v>13981443</v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>
        <v>29.842019047619051</v>
      </c>
      <c r="G33" s="189">
        <v>31.65254761904762</v>
      </c>
      <c r="H33" s="189">
        <v>0.96479047619047598</v>
      </c>
      <c r="I33" s="190">
        <v>0</v>
      </c>
      <c r="J33" s="190">
        <v>0</v>
      </c>
      <c r="K33" s="190">
        <v>0</v>
      </c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>
        <v>746.89199999999994</v>
      </c>
      <c r="Y33" s="209"/>
      <c r="Z33" s="272" t="s">
        <v>108</v>
      </c>
      <c r="AA33" s="186" t="s">
        <v>54</v>
      </c>
      <c r="AB33" s="187"/>
      <c r="AC33" s="188"/>
      <c r="AD33" s="189">
        <v>29.84202256</v>
      </c>
      <c r="AE33" s="189">
        <v>31.65254448</v>
      </c>
      <c r="AF33" s="189">
        <v>0.96479165</v>
      </c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>
        <f t="shared" ref="AY33:BC37" si="6">IF(OR(AD33="",F33=""),"",AD33-F33)</f>
        <v>3.5123809496440117E-6</v>
      </c>
      <c r="AZ33" s="89">
        <f t="shared" si="6"/>
        <v>-3.1390476209480767E-6</v>
      </c>
      <c r="BA33" s="89">
        <f t="shared" si="6"/>
        <v>1.1738095240243496E-6</v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>
        <v>32.659209523809523</v>
      </c>
      <c r="G34" s="151">
        <v>35.305909523809518</v>
      </c>
      <c r="H34" s="151">
        <v>0.98080476190476196</v>
      </c>
      <c r="I34" s="55">
        <v>0</v>
      </c>
      <c r="J34" s="55">
        <v>0</v>
      </c>
      <c r="K34" s="55">
        <v>0</v>
      </c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>
        <v>747.07100000000003</v>
      </c>
      <c r="Y34" s="209"/>
      <c r="Z34" s="271"/>
      <c r="AA34" s="21" t="s">
        <v>55</v>
      </c>
      <c r="AB34" s="150"/>
      <c r="AC34" s="50"/>
      <c r="AD34" s="151">
        <v>32.659213770000001</v>
      </c>
      <c r="AE34" s="151">
        <v>35.30590557</v>
      </c>
      <c r="AF34" s="151">
        <v>0.98081039999999997</v>
      </c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>
        <f t="shared" si="6"/>
        <v>4.2461904783408499E-6</v>
      </c>
      <c r="AZ34" s="100">
        <f t="shared" si="6"/>
        <v>-3.9538095180091659E-6</v>
      </c>
      <c r="BA34" s="100">
        <f t="shared" si="6"/>
        <v>5.6380952380141736E-6</v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>
        <v>35.404100000000007</v>
      </c>
      <c r="G35" s="151">
        <v>39.796204761904761</v>
      </c>
      <c r="H35" s="151">
        <v>0.99094761904761897</v>
      </c>
      <c r="I35" s="55">
        <v>0</v>
      </c>
      <c r="J35" s="55">
        <v>0</v>
      </c>
      <c r="K35" s="55">
        <v>0</v>
      </c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>
        <v>754.6110000000001</v>
      </c>
      <c r="Y35" s="209"/>
      <c r="Z35" s="271"/>
      <c r="AA35" s="21" t="s">
        <v>56</v>
      </c>
      <c r="AB35" s="150"/>
      <c r="AC35" s="50"/>
      <c r="AD35" s="151">
        <v>35.404095179999999</v>
      </c>
      <c r="AE35" s="151">
        <v>39.796196100000003</v>
      </c>
      <c r="AF35" s="151">
        <v>0.99094115999999999</v>
      </c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>
        <f t="shared" si="6"/>
        <v>-4.8200000080100835E-6</v>
      </c>
      <c r="AZ35" s="100">
        <f t="shared" si="6"/>
        <v>-8.6619047579006292E-6</v>
      </c>
      <c r="BA35" s="100">
        <f t="shared" si="6"/>
        <v>-6.4590476189785306E-6</v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>
        <v>37.646438095238103</v>
      </c>
      <c r="G36" s="151">
        <v>43.268876190476192</v>
      </c>
      <c r="H36" s="151">
        <v>0.99534285714285731</v>
      </c>
      <c r="I36" s="55">
        <v>0</v>
      </c>
      <c r="J36" s="55">
        <v>0</v>
      </c>
      <c r="K36" s="55">
        <v>0</v>
      </c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>
        <v>754.46399999999994</v>
      </c>
      <c r="Y36" s="209"/>
      <c r="Z36" s="271"/>
      <c r="AA36" s="21" t="s">
        <v>57</v>
      </c>
      <c r="AB36" s="150"/>
      <c r="AC36" s="50"/>
      <c r="AD36" s="151">
        <v>37.646431530000001</v>
      </c>
      <c r="AE36" s="151">
        <v>43.268869199999997</v>
      </c>
      <c r="AF36" s="151">
        <v>0.99532989999999999</v>
      </c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>
        <f t="shared" si="6"/>
        <v>-6.565238102496096E-6</v>
      </c>
      <c r="AZ36" s="100">
        <f t="shared" si="6"/>
        <v>-6.990476194346229E-6</v>
      </c>
      <c r="BA36" s="100">
        <f t="shared" si="6"/>
        <v>-1.2957142857317194E-5</v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>
        <v>38.519909523809531</v>
      </c>
      <c r="G37" s="193">
        <v>44.310923809523807</v>
      </c>
      <c r="H37" s="193">
        <v>0.99637619047619064</v>
      </c>
      <c r="I37" s="170">
        <v>0</v>
      </c>
      <c r="J37" s="170">
        <v>0</v>
      </c>
      <c r="K37" s="170">
        <v>0</v>
      </c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>
        <v>756.99799999999993</v>
      </c>
      <c r="Y37" s="209"/>
      <c r="Z37" s="273"/>
      <c r="AA37" s="23" t="s">
        <v>58</v>
      </c>
      <c r="AB37" s="35"/>
      <c r="AC37" s="52"/>
      <c r="AD37" s="193">
        <v>38.519917839999998</v>
      </c>
      <c r="AE37" s="193">
        <v>44.310927599999999</v>
      </c>
      <c r="AF37" s="193">
        <v>0.99637193000000002</v>
      </c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>
        <f t="shared" si="6"/>
        <v>8.3161904669282194E-6</v>
      </c>
      <c r="AZ37" s="102">
        <f t="shared" si="6"/>
        <v>3.7904761924778541E-6</v>
      </c>
      <c r="BA37" s="102">
        <f t="shared" si="6"/>
        <v>-4.2604761906206434E-6</v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workbookViewId="0">
      <selection activeCell="I19" sqref="I19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ManWithFruit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ManWithFruit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>
        <f>E23</f>
        <v>356817</v>
      </c>
      <c r="F5" s="84">
        <f t="shared" ref="F5:K9" si="0">IF(ISBLANK(F33),"",F33)</f>
        <v>41.196904166666663</v>
      </c>
      <c r="G5" s="84">
        <f t="shared" si="0"/>
        <v>44.741458333333327</v>
      </c>
      <c r="H5" s="84">
        <f t="shared" si="0"/>
        <v>0.99697083333333325</v>
      </c>
      <c r="I5" s="84">
        <f t="shared" si="0"/>
        <v>0</v>
      </c>
      <c r="J5" s="84">
        <f t="shared" si="0"/>
        <v>0</v>
      </c>
      <c r="K5" s="84">
        <f t="shared" si="0"/>
        <v>0</v>
      </c>
      <c r="L5" s="49"/>
      <c r="M5" s="49"/>
      <c r="N5" s="20"/>
      <c r="O5" s="50"/>
      <c r="P5" s="107">
        <f t="shared" ref="P5:W9" si="1">IF(ISBLANK(P16),"",P16)</f>
        <v>2.5750000000000002</v>
      </c>
      <c r="Q5" s="125">
        <f t="shared" si="1"/>
        <v>1.278</v>
      </c>
      <c r="R5" s="107">
        <f t="shared" si="1"/>
        <v>0.93700000000000006</v>
      </c>
      <c r="S5" s="125">
        <f t="shared" si="1"/>
        <v>4.2000000000000003E-2</v>
      </c>
      <c r="T5" s="107">
        <f t="shared" si="1"/>
        <v>2.3519999999999959</v>
      </c>
      <c r="U5" s="125">
        <f t="shared" si="1"/>
        <v>1.245000000000001</v>
      </c>
      <c r="V5" s="107">
        <f t="shared" si="1"/>
        <v>59760</v>
      </c>
      <c r="W5" s="125">
        <f t="shared" si="1"/>
        <v>36816</v>
      </c>
      <c r="X5" s="109">
        <f>IF(ISBLANK(X33),"",X33)</f>
        <v>284.55700000000002</v>
      </c>
      <c r="Y5" s="209"/>
      <c r="Z5" s="270"/>
      <c r="AA5" s="19" t="s">
        <v>54</v>
      </c>
      <c r="AB5" s="20"/>
      <c r="AC5" s="104">
        <f>AC23</f>
        <v>356768</v>
      </c>
      <c r="AD5" s="24">
        <f t="shared" ref="AD5:AI9" si="2">IF(ISBLANK(AD33),"",AD33)</f>
        <v>41.196904689999997</v>
      </c>
      <c r="AE5" s="24">
        <f t="shared" si="2"/>
        <v>44.741451920000003</v>
      </c>
      <c r="AF5" s="24">
        <f t="shared" si="2"/>
        <v>0.99697460999999998</v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>
        <f t="shared" ref="AN5:AU9" si="3">IF(ISBLANK(AN16),"",AN16)</f>
        <v>4.0259999999999998</v>
      </c>
      <c r="AO5" s="125">
        <f t="shared" si="3"/>
        <v>1.66</v>
      </c>
      <c r="AP5" s="107">
        <f t="shared" si="3"/>
        <v>1.6919999999999999</v>
      </c>
      <c r="AQ5" s="125">
        <f t="shared" si="3"/>
        <v>7.9000000000000001E-2</v>
      </c>
      <c r="AR5" s="107">
        <f t="shared" si="3"/>
        <v>1.910000000000001</v>
      </c>
      <c r="AS5" s="125">
        <f t="shared" si="3"/>
        <v>1.5609999999999999</v>
      </c>
      <c r="AT5" s="107">
        <f t="shared" si="3"/>
        <v>163252</v>
      </c>
      <c r="AU5" s="125">
        <f t="shared" si="3"/>
        <v>67712</v>
      </c>
      <c r="AV5" s="109" t="str">
        <f>IF(ISBLANK(AV33),"",AV33)</f>
        <v/>
      </c>
      <c r="AW5" s="88"/>
      <c r="AX5" s="131"/>
      <c r="AY5" s="234">
        <f>bdRateExtend($E5:$E9,F5:F9,$AC5:$AC9,AD5:AD9)</f>
        <v>-1.0122842079962613E-4</v>
      </c>
      <c r="AZ5" s="234">
        <f>bdRateExtend($E5:$E9,G5:G9,$AC5:$AC9,AE5:AE9)</f>
        <v>-9.7526172471495975E-5</v>
      </c>
      <c r="BA5" s="234">
        <f>bdRateExtend($E5:$E9,H5:H9,$AC5:$AC9,AF5:AF9)</f>
        <v>-4.4850403804588268E-3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>
        <f>E24</f>
        <v>450233</v>
      </c>
      <c r="F6" s="84">
        <f t="shared" si="0"/>
        <v>43.715716666666658</v>
      </c>
      <c r="G6" s="84">
        <f t="shared" si="0"/>
        <v>47.560316666666672</v>
      </c>
      <c r="H6" s="84">
        <f t="shared" si="0"/>
        <v>0.9982625000000005</v>
      </c>
      <c r="I6" s="84">
        <f t="shared" si="0"/>
        <v>0</v>
      </c>
      <c r="J6" s="84">
        <f t="shared" si="0"/>
        <v>0</v>
      </c>
      <c r="K6" s="84">
        <f t="shared" si="0"/>
        <v>0</v>
      </c>
      <c r="L6" s="50"/>
      <c r="M6" s="50"/>
      <c r="N6" s="22"/>
      <c r="O6" s="50"/>
      <c r="P6" s="107">
        <f t="shared" si="1"/>
        <v>2.6019999999999999</v>
      </c>
      <c r="Q6" s="107">
        <f t="shared" si="1"/>
        <v>1.238</v>
      </c>
      <c r="R6" s="107">
        <f t="shared" si="1"/>
        <v>0.94799999999999995</v>
      </c>
      <c r="S6" s="107">
        <f t="shared" si="1"/>
        <v>4.1000000000000002E-2</v>
      </c>
      <c r="T6" s="107">
        <f t="shared" si="1"/>
        <v>2.3679999999999981</v>
      </c>
      <c r="U6" s="107">
        <f t="shared" si="1"/>
        <v>1.2</v>
      </c>
      <c r="V6" s="107">
        <f t="shared" si="1"/>
        <v>59844</v>
      </c>
      <c r="W6" s="107">
        <f t="shared" si="1"/>
        <v>37000</v>
      </c>
      <c r="X6" s="109">
        <f>IF(ISBLANK(X34),"",X34)</f>
        <v>286.51299999999998</v>
      </c>
      <c r="Y6" s="209"/>
      <c r="Z6" s="271"/>
      <c r="AA6" s="21" t="s">
        <v>55</v>
      </c>
      <c r="AB6" s="22"/>
      <c r="AC6" s="129">
        <f>AC24</f>
        <v>450184</v>
      </c>
      <c r="AD6" s="84">
        <f t="shared" si="2"/>
        <v>43.715718270000004</v>
      </c>
      <c r="AE6" s="84">
        <f t="shared" si="2"/>
        <v>47.5603093</v>
      </c>
      <c r="AF6" s="84">
        <f t="shared" si="2"/>
        <v>0.99827292000000001</v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>
        <f t="shared" si="3"/>
        <v>4.1219999999999999</v>
      </c>
      <c r="AO6" s="107">
        <f t="shared" si="3"/>
        <v>1.6679999999999999</v>
      </c>
      <c r="AP6" s="107">
        <f t="shared" si="3"/>
        <v>1.77</v>
      </c>
      <c r="AQ6" s="107">
        <f t="shared" si="3"/>
        <v>7.8E-2</v>
      </c>
      <c r="AR6" s="107">
        <f t="shared" si="3"/>
        <v>1.925</v>
      </c>
      <c r="AS6" s="107">
        <f t="shared" si="3"/>
        <v>1.569</v>
      </c>
      <c r="AT6" s="107">
        <f t="shared" si="3"/>
        <v>165376</v>
      </c>
      <c r="AU6" s="107">
        <f t="shared" si="3"/>
        <v>67712</v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>
        <f>E25</f>
        <v>573882</v>
      </c>
      <c r="F7" s="84">
        <f t="shared" si="0"/>
        <v>44.558295833333339</v>
      </c>
      <c r="G7" s="84">
        <f t="shared" si="0"/>
        <v>48.921995833333327</v>
      </c>
      <c r="H7" s="84">
        <f t="shared" si="0"/>
        <v>0.99859999999999982</v>
      </c>
      <c r="I7" s="84">
        <f t="shared" si="0"/>
        <v>0</v>
      </c>
      <c r="J7" s="84">
        <f t="shared" si="0"/>
        <v>0</v>
      </c>
      <c r="K7" s="84">
        <f t="shared" si="0"/>
        <v>0</v>
      </c>
      <c r="L7" s="50"/>
      <c r="M7" s="50"/>
      <c r="N7" s="22"/>
      <c r="O7" s="50"/>
      <c r="P7" s="107">
        <f t="shared" si="1"/>
        <v>2.5739999999999998</v>
      </c>
      <c r="Q7" s="107">
        <f t="shared" si="1"/>
        <v>1.2729999999999999</v>
      </c>
      <c r="R7" s="107">
        <f t="shared" si="1"/>
        <v>0.92300000000000004</v>
      </c>
      <c r="S7" s="107">
        <f t="shared" si="1"/>
        <v>4.5999999999999999E-2</v>
      </c>
      <c r="T7" s="107">
        <f t="shared" si="1"/>
        <v>2.3610000000000002</v>
      </c>
      <c r="U7" s="107">
        <f t="shared" si="1"/>
        <v>1.2390000000000001</v>
      </c>
      <c r="V7" s="107">
        <f t="shared" si="1"/>
        <v>59744</v>
      </c>
      <c r="W7" s="107">
        <f t="shared" si="1"/>
        <v>36988</v>
      </c>
      <c r="X7" s="109">
        <f>IF(ISBLANK(X35),"",X35)</f>
        <v>289.10899999999998</v>
      </c>
      <c r="Y7" s="209"/>
      <c r="Z7" s="271"/>
      <c r="AA7" s="21" t="s">
        <v>56</v>
      </c>
      <c r="AB7" s="22"/>
      <c r="AC7" s="129">
        <f>AC25</f>
        <v>573833</v>
      </c>
      <c r="AD7" s="84">
        <f t="shared" si="2"/>
        <v>44.558309770000001</v>
      </c>
      <c r="AE7" s="84">
        <f t="shared" si="2"/>
        <v>48.921989179999997</v>
      </c>
      <c r="AF7" s="84">
        <f t="shared" si="2"/>
        <v>0.99861007000000002</v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>
        <f t="shared" si="3"/>
        <v>4.0350000000000001</v>
      </c>
      <c r="AO7" s="107">
        <f t="shared" si="3"/>
        <v>1.667</v>
      </c>
      <c r="AP7" s="107">
        <f t="shared" si="3"/>
        <v>1.667</v>
      </c>
      <c r="AQ7" s="107">
        <f t="shared" si="3"/>
        <v>7.5999999999999998E-2</v>
      </c>
      <c r="AR7" s="107">
        <f t="shared" si="3"/>
        <v>1.9350000000000001</v>
      </c>
      <c r="AS7" s="107">
        <f t="shared" si="3"/>
        <v>1.571</v>
      </c>
      <c r="AT7" s="107">
        <f t="shared" si="3"/>
        <v>165376</v>
      </c>
      <c r="AU7" s="107">
        <f t="shared" si="3"/>
        <v>67712</v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>
        <f>E26</f>
        <v>790033</v>
      </c>
      <c r="F8" s="84">
        <f t="shared" si="0"/>
        <v>45.872974999999997</v>
      </c>
      <c r="G8" s="84">
        <f t="shared" si="0"/>
        <v>50.602104166666663</v>
      </c>
      <c r="H8" s="84">
        <f t="shared" si="0"/>
        <v>0.99888333333333279</v>
      </c>
      <c r="I8" s="84">
        <f t="shared" si="0"/>
        <v>0</v>
      </c>
      <c r="J8" s="84">
        <f t="shared" si="0"/>
        <v>0</v>
      </c>
      <c r="K8" s="84">
        <f t="shared" si="0"/>
        <v>0</v>
      </c>
      <c r="L8" s="50"/>
      <c r="M8" s="50"/>
      <c r="N8" s="22"/>
      <c r="O8" s="50"/>
      <c r="P8" s="107">
        <f t="shared" si="1"/>
        <v>2.68</v>
      </c>
      <c r="Q8" s="107">
        <f t="shared" si="1"/>
        <v>1.296</v>
      </c>
      <c r="R8" s="107">
        <f t="shared" si="1"/>
        <v>0.95099999999999996</v>
      </c>
      <c r="S8" s="107">
        <f t="shared" si="1"/>
        <v>4.2999999999999997E-2</v>
      </c>
      <c r="T8" s="107">
        <f t="shared" si="1"/>
        <v>2.453999999999998</v>
      </c>
      <c r="U8" s="107">
        <f t="shared" si="1"/>
        <v>1.2609999999999999</v>
      </c>
      <c r="V8" s="107">
        <f t="shared" si="1"/>
        <v>59680</v>
      </c>
      <c r="W8" s="107">
        <f t="shared" si="1"/>
        <v>36984</v>
      </c>
      <c r="X8" s="109">
        <f>IF(ISBLANK(X36),"",X36)</f>
        <v>288.98200000000003</v>
      </c>
      <c r="Y8" s="209"/>
      <c r="Z8" s="271"/>
      <c r="AA8" s="21" t="s">
        <v>57</v>
      </c>
      <c r="AB8" s="22"/>
      <c r="AC8" s="129">
        <f>AC26</f>
        <v>789984</v>
      </c>
      <c r="AD8" s="84">
        <f t="shared" si="2"/>
        <v>45.872975250000003</v>
      </c>
      <c r="AE8" s="84">
        <f t="shared" si="2"/>
        <v>50.602116420000002</v>
      </c>
      <c r="AF8" s="84">
        <f t="shared" si="2"/>
        <v>0.99889271999999996</v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>
        <f t="shared" si="3"/>
        <v>4.1219999999999999</v>
      </c>
      <c r="AO8" s="107">
        <f t="shared" si="3"/>
        <v>1.714</v>
      </c>
      <c r="AP8" s="107">
        <f t="shared" si="3"/>
        <v>1.7170000000000001</v>
      </c>
      <c r="AQ8" s="107">
        <f t="shared" si="3"/>
        <v>0.08</v>
      </c>
      <c r="AR8" s="107">
        <f t="shared" si="3"/>
        <v>1.974</v>
      </c>
      <c r="AS8" s="107">
        <f t="shared" si="3"/>
        <v>1.61</v>
      </c>
      <c r="AT8" s="107">
        <f t="shared" si="3"/>
        <v>164344</v>
      </c>
      <c r="AU8" s="107">
        <f t="shared" si="3"/>
        <v>67712</v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>
        <f>E27</f>
        <v>1063257</v>
      </c>
      <c r="F9" s="28">
        <f t="shared" si="0"/>
        <v>46.50705</v>
      </c>
      <c r="G9" s="28">
        <f t="shared" si="0"/>
        <v>51.444966666666687</v>
      </c>
      <c r="H9" s="28">
        <f t="shared" si="0"/>
        <v>0.99902083333333314</v>
      </c>
      <c r="I9" s="28">
        <f t="shared" si="0"/>
        <v>0</v>
      </c>
      <c r="J9" s="28">
        <f t="shared" si="0"/>
        <v>0</v>
      </c>
      <c r="K9" s="28">
        <f t="shared" si="0"/>
        <v>0</v>
      </c>
      <c r="L9" s="50"/>
      <c r="M9" s="50"/>
      <c r="N9" s="22"/>
      <c r="O9" s="50"/>
      <c r="P9" s="107">
        <f t="shared" si="1"/>
        <v>2.665</v>
      </c>
      <c r="Q9" s="107">
        <f t="shared" si="1"/>
        <v>1.3460000000000001</v>
      </c>
      <c r="R9" s="107">
        <f t="shared" si="1"/>
        <v>0.93</v>
      </c>
      <c r="S9" s="107">
        <f t="shared" si="1"/>
        <v>4.4999999999999998E-2</v>
      </c>
      <c r="T9" s="107">
        <f t="shared" si="1"/>
        <v>2.470999999999997</v>
      </c>
      <c r="U9" s="107">
        <f t="shared" si="1"/>
        <v>1.3109999999999999</v>
      </c>
      <c r="V9" s="107">
        <f t="shared" si="1"/>
        <v>59844</v>
      </c>
      <c r="W9" s="107">
        <f t="shared" si="1"/>
        <v>37012</v>
      </c>
      <c r="X9" s="109">
        <f>IF(ISBLANK(X37),"",X37)</f>
        <v>289.952</v>
      </c>
      <c r="Y9" s="209"/>
      <c r="Z9" s="271"/>
      <c r="AA9" s="21" t="s">
        <v>58</v>
      </c>
      <c r="AB9" s="22"/>
      <c r="AC9" s="129">
        <f>AC27</f>
        <v>1063208</v>
      </c>
      <c r="AD9" s="84">
        <f t="shared" si="2"/>
        <v>46.507054789999998</v>
      </c>
      <c r="AE9" s="84">
        <f t="shared" si="2"/>
        <v>51.444959570000002</v>
      </c>
      <c r="AF9" s="84">
        <f t="shared" si="2"/>
        <v>0.99901786999999997</v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>
        <f t="shared" si="3"/>
        <v>4.149</v>
      </c>
      <c r="AO9" s="107">
        <f t="shared" si="3"/>
        <v>1.73</v>
      </c>
      <c r="AP9" s="107">
        <f t="shared" si="3"/>
        <v>1.7130000000000001</v>
      </c>
      <c r="AQ9" s="107">
        <f t="shared" si="3"/>
        <v>7.9000000000000001E-2</v>
      </c>
      <c r="AR9" s="107">
        <f t="shared" si="3"/>
        <v>1.996999999999999</v>
      </c>
      <c r="AS9" s="107">
        <f t="shared" si="3"/>
        <v>1.619999999999999</v>
      </c>
      <c r="AT9" s="107">
        <f t="shared" si="3"/>
        <v>162592</v>
      </c>
      <c r="AU9" s="107">
        <f t="shared" si="3"/>
        <v>67712</v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>
        <v>88468</v>
      </c>
      <c r="F16" s="106">
        <v>74202</v>
      </c>
      <c r="G16" s="138">
        <v>170</v>
      </c>
      <c r="H16" s="138">
        <v>151</v>
      </c>
      <c r="I16" s="138">
        <v>288</v>
      </c>
      <c r="J16" s="138">
        <v>106537</v>
      </c>
      <c r="K16" s="54">
        <v>66633</v>
      </c>
      <c r="L16" s="54">
        <v>20368</v>
      </c>
      <c r="M16" s="54"/>
      <c r="N16" s="49"/>
      <c r="O16" s="245"/>
      <c r="P16" s="152">
        <v>2.5750000000000002</v>
      </c>
      <c r="Q16" s="152">
        <v>1.278</v>
      </c>
      <c r="R16" s="152">
        <v>0.93700000000000006</v>
      </c>
      <c r="S16" s="152">
        <v>4.2000000000000003E-2</v>
      </c>
      <c r="T16" s="152">
        <v>2.3519999999999959</v>
      </c>
      <c r="U16" s="152">
        <v>1.245000000000001</v>
      </c>
      <c r="V16" s="152">
        <v>59760</v>
      </c>
      <c r="W16" s="152">
        <v>36816</v>
      </c>
      <c r="X16" s="118"/>
      <c r="Y16" s="209"/>
      <c r="Z16" s="285"/>
      <c r="AA16" s="19" t="s">
        <v>54</v>
      </c>
      <c r="AB16" s="20"/>
      <c r="AC16" s="106">
        <v>88419</v>
      </c>
      <c r="AD16" s="106">
        <v>74202</v>
      </c>
      <c r="AE16" s="138">
        <v>170</v>
      </c>
      <c r="AF16" s="138">
        <v>151</v>
      </c>
      <c r="AG16" s="138">
        <v>288</v>
      </c>
      <c r="AH16" s="138">
        <v>106537</v>
      </c>
      <c r="AI16" s="54">
        <v>66633</v>
      </c>
      <c r="AJ16" s="54">
        <v>20368</v>
      </c>
      <c r="AK16" s="54">
        <v>980</v>
      </c>
      <c r="AL16" s="49"/>
      <c r="AM16" s="245"/>
      <c r="AN16" s="152">
        <v>4.0259999999999998</v>
      </c>
      <c r="AO16" s="152">
        <v>1.66</v>
      </c>
      <c r="AP16" s="152">
        <v>1.6919999999999999</v>
      </c>
      <c r="AQ16" s="152">
        <v>7.9000000000000001E-2</v>
      </c>
      <c r="AR16" s="152">
        <v>1.910000000000001</v>
      </c>
      <c r="AS16" s="152">
        <v>1.5609999999999999</v>
      </c>
      <c r="AT16" s="152">
        <v>163252</v>
      </c>
      <c r="AU16" s="152">
        <v>67712</v>
      </c>
      <c r="AV16" s="118"/>
      <c r="AW16" s="88"/>
      <c r="AX16" s="155">
        <f t="shared" ref="AX16:BE19" si="4">AN16/P16</f>
        <v>1.5634951456310677</v>
      </c>
      <c r="AY16" s="194">
        <f t="shared" si="4"/>
        <v>1.2989045383411579</v>
      </c>
      <c r="AZ16" s="155">
        <f t="shared" si="4"/>
        <v>1.805763073639274</v>
      </c>
      <c r="BA16" s="194">
        <f t="shared" si="4"/>
        <v>1.8809523809523809</v>
      </c>
      <c r="BB16" s="155">
        <f t="shared" si="4"/>
        <v>0.81207482993197466</v>
      </c>
      <c r="BC16" s="194">
        <f t="shared" si="4"/>
        <v>1.2538152610441757</v>
      </c>
      <c r="BD16" s="155">
        <f t="shared" si="4"/>
        <v>2.731793842034806</v>
      </c>
      <c r="BE16" s="194">
        <f t="shared" si="4"/>
        <v>1.8392003476749239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>
        <v>88468</v>
      </c>
      <c r="F17" s="119">
        <v>99346</v>
      </c>
      <c r="G17" s="139">
        <v>2266</v>
      </c>
      <c r="H17" s="139">
        <v>264</v>
      </c>
      <c r="I17" s="139">
        <v>386</v>
      </c>
      <c r="J17" s="139">
        <v>139986</v>
      </c>
      <c r="K17" s="55">
        <v>90985</v>
      </c>
      <c r="L17" s="55">
        <v>28532</v>
      </c>
      <c r="M17" s="55"/>
      <c r="N17" s="50"/>
      <c r="O17" s="233"/>
      <c r="P17" s="153">
        <v>2.6019999999999999</v>
      </c>
      <c r="Q17" s="153">
        <v>1.238</v>
      </c>
      <c r="R17" s="153">
        <v>0.94799999999999995</v>
      </c>
      <c r="S17" s="153">
        <v>4.1000000000000002E-2</v>
      </c>
      <c r="T17" s="153">
        <v>2.3679999999999981</v>
      </c>
      <c r="U17" s="153">
        <v>1.2</v>
      </c>
      <c r="V17" s="153">
        <v>59844</v>
      </c>
      <c r="W17" s="153">
        <v>37000</v>
      </c>
      <c r="X17" s="120"/>
      <c r="Y17" s="209"/>
      <c r="Z17" s="271"/>
      <c r="AA17" s="21" t="s">
        <v>55</v>
      </c>
      <c r="AB17" s="22"/>
      <c r="AC17" s="119">
        <v>88419</v>
      </c>
      <c r="AD17" s="119">
        <v>99346</v>
      </c>
      <c r="AE17" s="139">
        <v>2266</v>
      </c>
      <c r="AF17" s="139">
        <v>264</v>
      </c>
      <c r="AG17" s="139">
        <v>386</v>
      </c>
      <c r="AH17" s="139">
        <v>139986</v>
      </c>
      <c r="AI17" s="55">
        <v>90985</v>
      </c>
      <c r="AJ17" s="55">
        <v>28532</v>
      </c>
      <c r="AK17" s="55">
        <v>979</v>
      </c>
      <c r="AL17" s="50"/>
      <c r="AM17" s="233"/>
      <c r="AN17" s="153">
        <v>4.1219999999999999</v>
      </c>
      <c r="AO17" s="153">
        <v>1.6679999999999999</v>
      </c>
      <c r="AP17" s="153">
        <v>1.77</v>
      </c>
      <c r="AQ17" s="153">
        <v>7.8E-2</v>
      </c>
      <c r="AR17" s="153">
        <v>1.925</v>
      </c>
      <c r="AS17" s="153">
        <v>1.569</v>
      </c>
      <c r="AT17" s="153">
        <v>165376</v>
      </c>
      <c r="AU17" s="153">
        <v>67712</v>
      </c>
      <c r="AV17" s="120"/>
      <c r="AW17" s="88"/>
      <c r="AX17" s="156">
        <f t="shared" si="4"/>
        <v>1.5841660261337434</v>
      </c>
      <c r="AY17" s="157">
        <f t="shared" si="4"/>
        <v>1.3473344103392568</v>
      </c>
      <c r="AZ17" s="156">
        <f t="shared" si="4"/>
        <v>1.8670886075949369</v>
      </c>
      <c r="BA17" s="157">
        <f t="shared" si="4"/>
        <v>1.9024390243902438</v>
      </c>
      <c r="BB17" s="156">
        <f t="shared" si="4"/>
        <v>0.81292229729729792</v>
      </c>
      <c r="BC17" s="157">
        <f t="shared" si="4"/>
        <v>1.3075000000000001</v>
      </c>
      <c r="BD17" s="156">
        <f t="shared" si="4"/>
        <v>2.7634516409330927</v>
      </c>
      <c r="BE17" s="157">
        <f t="shared" si="4"/>
        <v>1.830054054054054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>
        <v>88468</v>
      </c>
      <c r="F18" s="119">
        <v>125464</v>
      </c>
      <c r="G18" s="139">
        <v>23700</v>
      </c>
      <c r="H18" s="139">
        <v>4204</v>
      </c>
      <c r="I18" s="139">
        <v>3653</v>
      </c>
      <c r="J18" s="139">
        <v>175148</v>
      </c>
      <c r="K18" s="55">
        <v>115965</v>
      </c>
      <c r="L18" s="55">
        <v>37280</v>
      </c>
      <c r="M18" s="55"/>
      <c r="N18" s="50"/>
      <c r="O18" s="233"/>
      <c r="P18" s="153">
        <v>2.5739999999999998</v>
      </c>
      <c r="Q18" s="153">
        <v>1.2729999999999999</v>
      </c>
      <c r="R18" s="153">
        <v>0.92300000000000004</v>
      </c>
      <c r="S18" s="153">
        <v>4.5999999999999999E-2</v>
      </c>
      <c r="T18" s="153">
        <v>2.3610000000000002</v>
      </c>
      <c r="U18" s="153">
        <v>1.2390000000000001</v>
      </c>
      <c r="V18" s="153">
        <v>59744</v>
      </c>
      <c r="W18" s="153">
        <v>36988</v>
      </c>
      <c r="X18" s="120"/>
      <c r="Y18" s="209"/>
      <c r="Z18" s="271"/>
      <c r="AA18" s="21" t="s">
        <v>56</v>
      </c>
      <c r="AB18" s="22"/>
      <c r="AC18" s="119">
        <v>88419</v>
      </c>
      <c r="AD18" s="119">
        <v>125464</v>
      </c>
      <c r="AE18" s="139">
        <v>23700</v>
      </c>
      <c r="AF18" s="139">
        <v>4204</v>
      </c>
      <c r="AG18" s="139">
        <v>3653</v>
      </c>
      <c r="AH18" s="139">
        <v>175148</v>
      </c>
      <c r="AI18" s="55">
        <v>115965</v>
      </c>
      <c r="AJ18" s="55">
        <v>37280</v>
      </c>
      <c r="AK18" s="55">
        <v>977</v>
      </c>
      <c r="AL18" s="50"/>
      <c r="AM18" s="233"/>
      <c r="AN18" s="153">
        <v>4.0350000000000001</v>
      </c>
      <c r="AO18" s="153">
        <v>1.667</v>
      </c>
      <c r="AP18" s="153">
        <v>1.667</v>
      </c>
      <c r="AQ18" s="153">
        <v>7.5999999999999998E-2</v>
      </c>
      <c r="AR18" s="153">
        <v>1.9350000000000001</v>
      </c>
      <c r="AS18" s="153">
        <v>1.571</v>
      </c>
      <c r="AT18" s="153">
        <v>165376</v>
      </c>
      <c r="AU18" s="153">
        <v>67712</v>
      </c>
      <c r="AV18" s="120"/>
      <c r="AW18" s="88"/>
      <c r="AX18" s="156">
        <f t="shared" si="4"/>
        <v>1.5675990675990676</v>
      </c>
      <c r="AY18" s="157">
        <f t="shared" si="4"/>
        <v>1.309505106048704</v>
      </c>
      <c r="AZ18" s="156">
        <f t="shared" si="4"/>
        <v>1.8060671722643553</v>
      </c>
      <c r="BA18" s="157">
        <f t="shared" si="4"/>
        <v>1.6521739130434783</v>
      </c>
      <c r="BB18" s="156">
        <f t="shared" si="4"/>
        <v>0.81956797966963146</v>
      </c>
      <c r="BC18" s="157">
        <f t="shared" si="4"/>
        <v>1.267958030669895</v>
      </c>
      <c r="BD18" s="156">
        <f t="shared" si="4"/>
        <v>2.7680771290840922</v>
      </c>
      <c r="BE18" s="157">
        <f t="shared" si="4"/>
        <v>1.8306477776576187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>
        <v>88468</v>
      </c>
      <c r="F19" s="119">
        <v>143219</v>
      </c>
      <c r="G19" s="139">
        <v>74231</v>
      </c>
      <c r="H19" s="139">
        <v>35922</v>
      </c>
      <c r="I19" s="139">
        <v>47490</v>
      </c>
      <c r="J19" s="139">
        <v>211923</v>
      </c>
      <c r="K19" s="55">
        <v>142195</v>
      </c>
      <c r="L19" s="55">
        <v>46585</v>
      </c>
      <c r="M19" s="55"/>
      <c r="N19" s="50"/>
      <c r="O19" s="233"/>
      <c r="P19" s="153">
        <v>2.68</v>
      </c>
      <c r="Q19" s="153">
        <v>1.296</v>
      </c>
      <c r="R19" s="153">
        <v>0.95099999999999996</v>
      </c>
      <c r="S19" s="153">
        <v>4.2999999999999997E-2</v>
      </c>
      <c r="T19" s="153">
        <v>2.453999999999998</v>
      </c>
      <c r="U19" s="153">
        <v>1.2609999999999999</v>
      </c>
      <c r="V19" s="153">
        <v>59680</v>
      </c>
      <c r="W19" s="153">
        <v>36984</v>
      </c>
      <c r="X19" s="120"/>
      <c r="Y19" s="209"/>
      <c r="Z19" s="271"/>
      <c r="AA19" s="21" t="s">
        <v>57</v>
      </c>
      <c r="AB19" s="22"/>
      <c r="AC19" s="119">
        <v>88419</v>
      </c>
      <c r="AD19" s="119">
        <v>143219</v>
      </c>
      <c r="AE19" s="139">
        <v>74231</v>
      </c>
      <c r="AF19" s="139">
        <v>35922</v>
      </c>
      <c r="AG19" s="139">
        <v>47490</v>
      </c>
      <c r="AH19" s="139">
        <v>211923</v>
      </c>
      <c r="AI19" s="55">
        <v>142195</v>
      </c>
      <c r="AJ19" s="55">
        <v>46585</v>
      </c>
      <c r="AK19" s="55">
        <v>961</v>
      </c>
      <c r="AL19" s="50"/>
      <c r="AM19" s="233"/>
      <c r="AN19" s="153">
        <v>4.1219999999999999</v>
      </c>
      <c r="AO19" s="153">
        <v>1.714</v>
      </c>
      <c r="AP19" s="153">
        <v>1.7170000000000001</v>
      </c>
      <c r="AQ19" s="153">
        <v>0.08</v>
      </c>
      <c r="AR19" s="153">
        <v>1.974</v>
      </c>
      <c r="AS19" s="153">
        <v>1.61</v>
      </c>
      <c r="AT19" s="153">
        <v>164344</v>
      </c>
      <c r="AU19" s="153">
        <v>67712</v>
      </c>
      <c r="AV19" s="120"/>
      <c r="AW19" s="88"/>
      <c r="AX19" s="156">
        <f t="shared" si="4"/>
        <v>1.5380597014925372</v>
      </c>
      <c r="AY19" s="157">
        <f t="shared" si="4"/>
        <v>1.3225308641975309</v>
      </c>
      <c r="AZ19" s="156">
        <f t="shared" si="4"/>
        <v>1.8054679284963198</v>
      </c>
      <c r="BA19" s="157">
        <f t="shared" si="4"/>
        <v>1.86046511627907</v>
      </c>
      <c r="BB19" s="156">
        <f t="shared" si="4"/>
        <v>0.80440097799511068</v>
      </c>
      <c r="BC19" s="157">
        <f t="shared" si="4"/>
        <v>1.2767644726407614</v>
      </c>
      <c r="BD19" s="156">
        <f t="shared" si="4"/>
        <v>2.7537533512064343</v>
      </c>
      <c r="BE19" s="157">
        <f t="shared" si="4"/>
        <v>1.8308457711442787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>
        <v>88468</v>
      </c>
      <c r="F20" s="171">
        <v>150400</v>
      </c>
      <c r="G20" s="139">
        <v>115747</v>
      </c>
      <c r="H20" s="139">
        <v>90672</v>
      </c>
      <c r="I20" s="139">
        <v>141937</v>
      </c>
      <c r="J20" s="139">
        <v>249639</v>
      </c>
      <c r="K20" s="55">
        <v>170123</v>
      </c>
      <c r="L20" s="55">
        <v>56271</v>
      </c>
      <c r="M20" s="55"/>
      <c r="N20" s="50"/>
      <c r="O20" s="233"/>
      <c r="P20" s="153">
        <v>2.665</v>
      </c>
      <c r="Q20" s="153">
        <v>1.3460000000000001</v>
      </c>
      <c r="R20" s="153">
        <v>0.93</v>
      </c>
      <c r="S20" s="153">
        <v>4.4999999999999998E-2</v>
      </c>
      <c r="T20" s="153">
        <v>2.470999999999997</v>
      </c>
      <c r="U20" s="153">
        <v>1.3109999999999999</v>
      </c>
      <c r="V20" s="153">
        <v>59844</v>
      </c>
      <c r="W20" s="153">
        <v>37012</v>
      </c>
      <c r="X20" s="121"/>
      <c r="Y20" s="209"/>
      <c r="Z20" s="271"/>
      <c r="AA20" s="23" t="s">
        <v>58</v>
      </c>
      <c r="AB20" s="31"/>
      <c r="AC20" s="171">
        <v>88419</v>
      </c>
      <c r="AD20" s="171">
        <v>150400</v>
      </c>
      <c r="AE20" s="139">
        <v>115747</v>
      </c>
      <c r="AF20" s="139">
        <v>90672</v>
      </c>
      <c r="AG20" s="139">
        <v>141937</v>
      </c>
      <c r="AH20" s="139">
        <v>249639</v>
      </c>
      <c r="AI20" s="55">
        <v>170123</v>
      </c>
      <c r="AJ20" s="55">
        <v>56271</v>
      </c>
      <c r="AK20" s="55">
        <v>948</v>
      </c>
      <c r="AL20" s="50"/>
      <c r="AM20" s="233"/>
      <c r="AN20" s="153">
        <v>4.149</v>
      </c>
      <c r="AO20" s="153">
        <v>1.73</v>
      </c>
      <c r="AP20" s="153">
        <v>1.7130000000000001</v>
      </c>
      <c r="AQ20" s="153">
        <v>7.9000000000000001E-2</v>
      </c>
      <c r="AR20" s="153">
        <v>1.996999999999999</v>
      </c>
      <c r="AS20" s="153">
        <v>1.619999999999999</v>
      </c>
      <c r="AT20" s="153">
        <v>162592</v>
      </c>
      <c r="AU20" s="153">
        <v>67712</v>
      </c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>
        <f t="shared" ref="AX21:BE21" si="5">GEOMEAN(AX16:AX19)</f>
        <v>1.5632425066229541</v>
      </c>
      <c r="AY21" s="161">
        <f t="shared" si="5"/>
        <v>1.3194453654790712</v>
      </c>
      <c r="AZ21" s="160">
        <f t="shared" si="5"/>
        <v>1.8209052307330398</v>
      </c>
      <c r="BA21" s="161">
        <f t="shared" si="5"/>
        <v>1.8211321429117058</v>
      </c>
      <c r="BB21" s="160">
        <f t="shared" si="5"/>
        <v>0.81222371267963656</v>
      </c>
      <c r="BC21" s="161">
        <f t="shared" si="5"/>
        <v>1.2763586598367702</v>
      </c>
      <c r="BD21" s="160">
        <f t="shared" si="5"/>
        <v>2.7542334858397242</v>
      </c>
      <c r="BE21" s="161">
        <f t="shared" si="5"/>
        <v>1.8326831124243936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>
        <f>IF(ISBLANK(E16),"",SUM(E16:L16))</f>
        <v>356817</v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>
        <f>IF(ISBLANK(AC16),"",SUM(AC16:AJ16))</f>
        <v>356768</v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>
        <f>IF(ISBLANK(E17),"",SUM(E17:L17))</f>
        <v>450233</v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>
        <f>IF(ISBLANK(AC17),"",SUM(AC17:AJ17))</f>
        <v>450184</v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>
        <f>IF(ISBLANK(E18),"",SUM(E18:L18))</f>
        <v>573882</v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>
        <f>IF(ISBLANK(AC18),"",SUM(AC18:AJ18))</f>
        <v>573833</v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>
        <f>IF(ISBLANK(E19),"",SUM(E19:L19))</f>
        <v>790033</v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>
        <f>IF(ISBLANK(AC19),"",SUM(AC19:AJ19))</f>
        <v>789984</v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>
        <f>IF(ISBLANK(E20),"",SUM(E20:L20))</f>
        <v>1063257</v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>
        <f>IF(ISBLANK(AC20),"",SUM(AC20:AJ20))</f>
        <v>1063208</v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>
        <v>41.196904166666663</v>
      </c>
      <c r="G33" s="189">
        <v>44.741458333333327</v>
      </c>
      <c r="H33" s="189">
        <v>0.99697083333333325</v>
      </c>
      <c r="I33" s="190">
        <v>0</v>
      </c>
      <c r="J33" s="190">
        <v>0</v>
      </c>
      <c r="K33" s="190">
        <v>0</v>
      </c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>
        <v>284.55700000000002</v>
      </c>
      <c r="Y33" s="209"/>
      <c r="Z33" s="272" t="s">
        <v>108</v>
      </c>
      <c r="AA33" s="186" t="s">
        <v>54</v>
      </c>
      <c r="AB33" s="187"/>
      <c r="AC33" s="188"/>
      <c r="AD33" s="189">
        <v>41.196904689999997</v>
      </c>
      <c r="AE33" s="189">
        <v>44.741451920000003</v>
      </c>
      <c r="AF33" s="189">
        <v>0.99697460999999998</v>
      </c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>
        <f t="shared" ref="AY33:BC37" si="6">IF(OR(AD33="",F33=""),"",AD33-F33)</f>
        <v>5.2333333400156334E-7</v>
      </c>
      <c r="AZ33" s="89">
        <f t="shared" si="6"/>
        <v>-6.4133333239624335E-6</v>
      </c>
      <c r="BA33" s="89">
        <f t="shared" si="6"/>
        <v>3.7766666667327087E-6</v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>
        <v>43.715716666666658</v>
      </c>
      <c r="G34" s="151">
        <v>47.560316666666672</v>
      </c>
      <c r="H34" s="151">
        <v>0.9982625000000005</v>
      </c>
      <c r="I34" s="55">
        <v>0</v>
      </c>
      <c r="J34" s="55">
        <v>0</v>
      </c>
      <c r="K34" s="55">
        <v>0</v>
      </c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>
        <v>286.51299999999998</v>
      </c>
      <c r="Y34" s="209"/>
      <c r="Z34" s="271"/>
      <c r="AA34" s="21" t="s">
        <v>55</v>
      </c>
      <c r="AB34" s="150"/>
      <c r="AC34" s="50"/>
      <c r="AD34" s="151">
        <v>43.715718270000004</v>
      </c>
      <c r="AE34" s="151">
        <v>47.5603093</v>
      </c>
      <c r="AF34" s="151">
        <v>0.99827292000000001</v>
      </c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>
        <f t="shared" si="6"/>
        <v>1.6033333452014631E-6</v>
      </c>
      <c r="AZ34" s="100">
        <f t="shared" si="6"/>
        <v>-7.3666666722260743E-6</v>
      </c>
      <c r="BA34" s="100">
        <f t="shared" si="6"/>
        <v>1.0419999999511376E-5</v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>
        <v>44.558295833333339</v>
      </c>
      <c r="G35" s="151">
        <v>48.921995833333327</v>
      </c>
      <c r="H35" s="151">
        <v>0.99859999999999982</v>
      </c>
      <c r="I35" s="55">
        <v>0</v>
      </c>
      <c r="J35" s="55">
        <v>0</v>
      </c>
      <c r="K35" s="55">
        <v>0</v>
      </c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>
        <v>289.10899999999998</v>
      </c>
      <c r="Y35" s="209"/>
      <c r="Z35" s="271"/>
      <c r="AA35" s="21" t="s">
        <v>56</v>
      </c>
      <c r="AB35" s="150"/>
      <c r="AC35" s="50"/>
      <c r="AD35" s="151">
        <v>44.558309770000001</v>
      </c>
      <c r="AE35" s="151">
        <v>48.921989179999997</v>
      </c>
      <c r="AF35" s="151">
        <v>0.99861007000000002</v>
      </c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>
        <f t="shared" si="6"/>
        <v>1.3936666661606978E-5</v>
      </c>
      <c r="AZ35" s="100">
        <f t="shared" si="6"/>
        <v>-6.6533333296092678E-6</v>
      </c>
      <c r="BA35" s="100">
        <f t="shared" si="6"/>
        <v>1.0070000000195201E-5</v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>
        <v>45.872974999999997</v>
      </c>
      <c r="G36" s="151">
        <v>50.602104166666663</v>
      </c>
      <c r="H36" s="151">
        <v>0.99888333333333279</v>
      </c>
      <c r="I36" s="55">
        <v>0</v>
      </c>
      <c r="J36" s="55">
        <v>0</v>
      </c>
      <c r="K36" s="55">
        <v>0</v>
      </c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>
        <v>288.98200000000003</v>
      </c>
      <c r="Y36" s="209"/>
      <c r="Z36" s="271"/>
      <c r="AA36" s="21" t="s">
        <v>57</v>
      </c>
      <c r="AB36" s="150"/>
      <c r="AC36" s="50"/>
      <c r="AD36" s="151">
        <v>45.872975250000003</v>
      </c>
      <c r="AE36" s="151">
        <v>50.602116420000002</v>
      </c>
      <c r="AF36" s="151">
        <v>0.99889271999999996</v>
      </c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>
        <f t="shared" si="6"/>
        <v>2.5000000647423803E-7</v>
      </c>
      <c r="AZ36" s="100">
        <f t="shared" si="6"/>
        <v>1.2253333338207995E-5</v>
      </c>
      <c r="BA36" s="100">
        <f t="shared" si="6"/>
        <v>9.3866666671660326E-6</v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>
        <v>46.50705</v>
      </c>
      <c r="G37" s="193">
        <v>51.444966666666687</v>
      </c>
      <c r="H37" s="193">
        <v>0.99902083333333314</v>
      </c>
      <c r="I37" s="170">
        <v>0</v>
      </c>
      <c r="J37" s="170">
        <v>0</v>
      </c>
      <c r="K37" s="170">
        <v>0</v>
      </c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>
        <v>289.952</v>
      </c>
      <c r="Y37" s="209"/>
      <c r="Z37" s="273"/>
      <c r="AA37" s="23" t="s">
        <v>58</v>
      </c>
      <c r="AB37" s="35"/>
      <c r="AC37" s="52"/>
      <c r="AD37" s="193">
        <v>46.507054789999998</v>
      </c>
      <c r="AE37" s="193">
        <v>51.444959570000002</v>
      </c>
      <c r="AF37" s="193">
        <v>0.99901786999999997</v>
      </c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>
        <f t="shared" si="6"/>
        <v>4.7899999984224451E-6</v>
      </c>
      <c r="AZ37" s="102">
        <f t="shared" si="6"/>
        <v>-7.0966666854133109E-6</v>
      </c>
      <c r="BA37" s="102">
        <f t="shared" si="6"/>
        <v>-2.9633333331613443E-6</v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topLeftCell="S1" workbookViewId="0">
      <selection activeCell="AE19" sqref="AE19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25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LEGO_Ferrari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LEGO_Ferrari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26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LEGO_Bugatti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LEGO_Bugatti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Plant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Plant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Tennis_Player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Tennis_Player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29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Cricket_Player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Cricket_Player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30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Tango_Duo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Tango_Duo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31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Solo_Tango_Female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Solo_Tango_Female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32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Solo_Tango_Male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Solo_Tango_Male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33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BlueBackpack_UVGgs_0100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BlueBackpack_UVGgs_0100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topLeftCell="T1" workbookViewId="0">
      <selection activeCell="AD33" sqref="AD33:AF38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BlueBackpack_UVGgs_0200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BlueBackpack_UVGgs_0200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topLeftCell="S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19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bartender_track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bartender_track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36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FlowerDance_UVGgs_0200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FlowerDance_UVGgs_0200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Gymnast_UVGgs_0100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Gymnast_UVGgs_0100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38</v>
      </c>
      <c r="C2" s="269" t="str">
        <f>CONCATENATE("Summary [ ",'Summary (auto)'!$C$3," ]")</f>
        <v>Summary [ MPEG151-octree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Gymnast_UVGgs_0200</v>
      </c>
      <c r="AA2" s="274" t="str">
        <f>CONCATENATE("Summary [ ",'Summary (auto)'!$C$4," ]")</f>
        <v>Summary [ MPEG151-修改上下文 ]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Gymnast_UVGgs_0200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str">
        <f>CONCATENATE("Encoding/Decoding [ ",'Summary (auto)'!$C$3," ]")</f>
        <v>Encoding/Decoding [ MPEG151-octree ]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str">
        <f>CONCATENATE("Encoding [ ",'Summary (auto)'!$C$4," ]")</f>
        <v>Encoding [ MPEG151-修改上下文 ]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str">
        <f>CONCATENATE("Objective metrics [ ",'Summary (auto)'!$C$3," ]")</f>
        <v>Objective metrics [ MPEG151-octree ]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str">
        <f>CONCATENATE("Objective metrics [ ",'Summary (auto)'!$C$4," ]")</f>
        <v>Objective metrics [ MPEG151-修改上下文 ]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artwork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artwork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panda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panda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207" bestFit="1" customWidth="1"/>
    <col min="2" max="2" width="9.8984375" style="207" customWidth="1"/>
    <col min="3" max="3" width="9.3984375" style="7" bestFit="1" customWidth="1"/>
    <col min="4" max="4" width="2.6992187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27" customWidth="1"/>
    <col min="16" max="18" width="9.296875" style="11" customWidth="1"/>
    <col min="19" max="24" width="9.19921875" style="12" customWidth="1"/>
    <col min="25" max="25" width="4.19921875" style="207" customWidth="1"/>
    <col min="26" max="26" width="11" style="207" customWidth="1"/>
    <col min="27" max="29" width="9.19921875" style="207" customWidth="1"/>
    <col min="30" max="30" width="9.796875" style="207" customWidth="1"/>
    <col min="31" max="31" width="9.8984375" style="207" customWidth="1"/>
    <col min="32" max="32" width="8.796875" style="207" customWidth="1"/>
    <col min="33" max="33" width="10.09765625" style="207" bestFit="1" customWidth="1"/>
    <col min="34" max="34" width="10.09765625" style="207" customWidth="1"/>
    <col min="35" max="35" width="8.09765625" style="207" customWidth="1"/>
    <col min="36" max="36" width="8.69921875" style="207" customWidth="1"/>
    <col min="37" max="37" width="8.19921875" style="207" customWidth="1"/>
    <col min="38" max="38" width="3.796875" style="207" customWidth="1"/>
    <col min="39" max="39" width="3.796875" style="227" customWidth="1"/>
    <col min="40" max="42" width="7.09765625" style="207" customWidth="1"/>
    <col min="43" max="47" width="7.8984375" style="207" customWidth="1"/>
    <col min="48" max="48" width="9.09765625" style="207" customWidth="1"/>
    <col min="49" max="49" width="3.796875" style="207" customWidth="1"/>
    <col min="50" max="50" width="8.296875" style="207" bestFit="1" customWidth="1"/>
    <col min="51" max="51" width="10.796875" style="207" customWidth="1"/>
    <col min="52" max="52" width="10.296875" style="207" customWidth="1"/>
    <col min="53" max="53" width="9.8984375" style="207" customWidth="1"/>
    <col min="54" max="54" width="11.296875" style="207" customWidth="1"/>
    <col min="55" max="55" width="10.3984375" style="207" customWidth="1"/>
    <col min="56" max="56" width="7" style="207" bestFit="1" customWidth="1"/>
    <col min="57" max="57" width="7.3984375" style="207" bestFit="1" customWidth="1"/>
    <col min="58" max="58" width="8.19921875" style="207" customWidth="1"/>
    <col min="59" max="59" width="16.19921875" style="207" customWidth="1"/>
    <col min="60" max="61" width="8.3984375" style="207" bestFit="1" customWidth="1"/>
    <col min="62" max="64" width="7.296875" style="207" bestFit="1" customWidth="1"/>
    <col min="65" max="65" width="7.296875" style="207" customWidth="1"/>
    <col min="66" max="66" width="7.296875" style="207" bestFit="1" customWidth="1"/>
    <col min="67" max="67" width="2.296875" style="207" customWidth="1"/>
    <col min="68" max="83" width="9" style="207" customWidth="1"/>
    <col min="84" max="16384" width="9" style="207"/>
  </cols>
  <sheetData>
    <row r="1" spans="1:70" ht="14.25" customHeight="1" thickBot="1" x14ac:dyDescent="0.2">
      <c r="A1" s="1"/>
      <c r="Y1" s="1"/>
      <c r="AW1" s="1"/>
      <c r="AX1" s="1"/>
      <c r="BB1" s="1"/>
      <c r="BC1" s="1"/>
      <c r="BG1" s="1"/>
    </row>
    <row r="2" spans="1:70" ht="13.5" customHeight="1" thickBot="1" x14ac:dyDescent="0.3">
      <c r="B2" s="117" t="s">
        <v>41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9"/>
      <c r="Z2" s="117" t="str">
        <f>$B$2</f>
        <v>wukong</v>
      </c>
      <c r="AA2" s="274" t="e">
        <f>CONCATENATE("Summary [ ",#REF!," ]")</f>
        <v>#REF!</v>
      </c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6"/>
      <c r="AW2" s="88"/>
      <c r="AX2" s="134" t="str">
        <f>$B$2</f>
        <v>wukong</v>
      </c>
      <c r="AY2" s="288" t="s">
        <v>65</v>
      </c>
      <c r="AZ2" s="275"/>
      <c r="BA2" s="275"/>
      <c r="BB2" s="275"/>
      <c r="BC2" s="276"/>
      <c r="BD2" s="33"/>
      <c r="BE2" s="228"/>
      <c r="BF2" s="33"/>
    </row>
    <row r="3" spans="1:70" ht="13.5" customHeight="1" x14ac:dyDescent="0.3">
      <c r="B3" s="128"/>
      <c r="C3" s="115"/>
      <c r="D3" s="87"/>
      <c r="E3" s="229" t="s">
        <v>52</v>
      </c>
      <c r="F3" s="24" t="s">
        <v>66</v>
      </c>
      <c r="G3" s="25" t="s">
        <v>66</v>
      </c>
      <c r="H3" s="25" t="s">
        <v>66</v>
      </c>
      <c r="I3" s="25" t="s">
        <v>66</v>
      </c>
      <c r="J3" s="25" t="s">
        <v>66</v>
      </c>
      <c r="K3" s="25" t="s">
        <v>66</v>
      </c>
      <c r="L3" s="25"/>
      <c r="M3" s="25"/>
      <c r="N3" s="25"/>
      <c r="O3" s="230"/>
      <c r="P3" s="279" t="s">
        <v>67</v>
      </c>
      <c r="Q3" s="279" t="s">
        <v>68</v>
      </c>
      <c r="R3" s="279" t="s">
        <v>69</v>
      </c>
      <c r="S3" s="279" t="s">
        <v>70</v>
      </c>
      <c r="T3" s="279" t="s">
        <v>71</v>
      </c>
      <c r="U3" s="279" t="s">
        <v>72</v>
      </c>
      <c r="V3" s="279" t="s">
        <v>73</v>
      </c>
      <c r="W3" s="279" t="s">
        <v>74</v>
      </c>
      <c r="X3" s="277" t="s">
        <v>75</v>
      </c>
      <c r="Y3" s="209"/>
      <c r="Z3" s="114"/>
      <c r="AA3" s="115"/>
      <c r="AB3" s="87"/>
      <c r="AC3" s="229" t="s">
        <v>52</v>
      </c>
      <c r="AD3" s="24" t="s">
        <v>66</v>
      </c>
      <c r="AE3" s="25" t="s">
        <v>66</v>
      </c>
      <c r="AF3" s="25" t="s">
        <v>66</v>
      </c>
      <c r="AG3" s="25" t="s">
        <v>66</v>
      </c>
      <c r="AH3" s="25" t="s">
        <v>66</v>
      </c>
      <c r="AI3" s="25" t="s">
        <v>66</v>
      </c>
      <c r="AJ3" s="25"/>
      <c r="AK3" s="25"/>
      <c r="AL3" s="25"/>
      <c r="AM3" s="230"/>
      <c r="AN3" s="279" t="s">
        <v>67</v>
      </c>
      <c r="AO3" s="279" t="s">
        <v>68</v>
      </c>
      <c r="AP3" s="279" t="s">
        <v>69</v>
      </c>
      <c r="AQ3" s="279" t="s">
        <v>70</v>
      </c>
      <c r="AR3" s="279" t="s">
        <v>71</v>
      </c>
      <c r="AS3" s="279" t="s">
        <v>72</v>
      </c>
      <c r="AT3" s="279" t="s">
        <v>73</v>
      </c>
      <c r="AU3" s="279" t="s">
        <v>74</v>
      </c>
      <c r="AV3" s="277" t="s">
        <v>75</v>
      </c>
      <c r="AW3" s="88"/>
      <c r="AX3" s="114"/>
      <c r="AY3" s="135"/>
      <c r="AZ3" s="135"/>
      <c r="BA3" s="135"/>
      <c r="BB3" s="135"/>
      <c r="BC3" s="136"/>
      <c r="BD3" s="36"/>
      <c r="BE3" s="44"/>
      <c r="BF3" s="17" t="s">
        <v>76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6"/>
      <c r="C4" s="88"/>
      <c r="D4" s="27"/>
      <c r="E4" s="231" t="s">
        <v>77</v>
      </c>
      <c r="F4" s="28" t="s">
        <v>50</v>
      </c>
      <c r="G4" s="232" t="s">
        <v>61</v>
      </c>
      <c r="H4" s="232" t="s">
        <v>64</v>
      </c>
      <c r="I4" s="232" t="s">
        <v>78</v>
      </c>
      <c r="J4" s="232" t="s">
        <v>79</v>
      </c>
      <c r="K4" s="232" t="s">
        <v>80</v>
      </c>
      <c r="L4" s="97"/>
      <c r="M4" s="97"/>
      <c r="N4" s="85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9"/>
      <c r="Z4" s="116"/>
      <c r="AA4" s="88"/>
      <c r="AB4" s="27"/>
      <c r="AC4" s="231" t="s">
        <v>77</v>
      </c>
      <c r="AD4" s="28" t="s">
        <v>50</v>
      </c>
      <c r="AE4" s="232" t="s">
        <v>61</v>
      </c>
      <c r="AF4" s="232" t="s">
        <v>64</v>
      </c>
      <c r="AG4" s="232" t="s">
        <v>78</v>
      </c>
      <c r="AH4" s="232" t="s">
        <v>79</v>
      </c>
      <c r="AI4" s="232" t="s">
        <v>80</v>
      </c>
      <c r="AJ4" s="232"/>
      <c r="AK4" s="232"/>
      <c r="AL4" s="85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9"/>
      <c r="AX4" s="92"/>
      <c r="AY4" s="84" t="s">
        <v>50</v>
      </c>
      <c r="AZ4" s="84" t="s">
        <v>61</v>
      </c>
      <c r="BA4" s="84" t="s">
        <v>64</v>
      </c>
      <c r="BB4" s="84"/>
      <c r="BC4" s="137" t="s">
        <v>18</v>
      </c>
      <c r="BD4" s="84"/>
      <c r="BE4" s="84"/>
      <c r="BF4" s="84"/>
      <c r="BH4" s="16"/>
      <c r="BI4" s="16"/>
      <c r="BJ4" s="16"/>
      <c r="BK4" s="16"/>
      <c r="BL4" s="16"/>
      <c r="BM4" s="16"/>
      <c r="BN4" s="16"/>
      <c r="BP4" s="7"/>
      <c r="BQ4" s="7"/>
      <c r="BR4" s="7"/>
    </row>
    <row r="5" spans="1:70" ht="13.5" customHeight="1" x14ac:dyDescent="0.15">
      <c r="B5" s="283"/>
      <c r="C5" s="19" t="s">
        <v>54</v>
      </c>
      <c r="D5" s="20"/>
      <c r="E5" s="104" t="str">
        <f>E23</f>
        <v/>
      </c>
      <c r="F5" s="84" t="str">
        <f t="shared" ref="F5:K9" si="0">IF(ISBLANK(F33),"",F33)</f>
        <v/>
      </c>
      <c r="G5" s="84" t="str">
        <f t="shared" si="0"/>
        <v/>
      </c>
      <c r="H5" s="84" t="str">
        <f t="shared" si="0"/>
        <v/>
      </c>
      <c r="I5" s="84" t="str">
        <f t="shared" si="0"/>
        <v/>
      </c>
      <c r="J5" s="84" t="str">
        <f t="shared" si="0"/>
        <v/>
      </c>
      <c r="K5" s="84" t="str">
        <f t="shared" si="0"/>
        <v/>
      </c>
      <c r="L5" s="49"/>
      <c r="M5" s="49"/>
      <c r="N5" s="20"/>
      <c r="O5" s="50"/>
      <c r="P5" s="107" t="str">
        <f t="shared" ref="P5:W9" si="1">IF(ISBLANK(P16),"",P16)</f>
        <v/>
      </c>
      <c r="Q5" s="125" t="str">
        <f t="shared" si="1"/>
        <v/>
      </c>
      <c r="R5" s="107" t="str">
        <f t="shared" si="1"/>
        <v/>
      </c>
      <c r="S5" s="125" t="str">
        <f t="shared" si="1"/>
        <v/>
      </c>
      <c r="T5" s="107" t="str">
        <f t="shared" si="1"/>
        <v/>
      </c>
      <c r="U5" s="125" t="str">
        <f t="shared" si="1"/>
        <v/>
      </c>
      <c r="V5" s="107" t="str">
        <f t="shared" si="1"/>
        <v/>
      </c>
      <c r="W5" s="125" t="str">
        <f t="shared" si="1"/>
        <v/>
      </c>
      <c r="X5" s="109" t="str">
        <f>IF(ISBLANK(X33),"",X33)</f>
        <v/>
      </c>
      <c r="Y5" s="209"/>
      <c r="Z5" s="270"/>
      <c r="AA5" s="19" t="s">
        <v>54</v>
      </c>
      <c r="AB5" s="20"/>
      <c r="AC5" s="104" t="str">
        <f>AC23</f>
        <v/>
      </c>
      <c r="AD5" s="24" t="str">
        <f t="shared" ref="AD5:AI9" si="2">IF(ISBLANK(AD33),"",AD33)</f>
        <v/>
      </c>
      <c r="AE5" s="24" t="str">
        <f t="shared" si="2"/>
        <v/>
      </c>
      <c r="AF5" s="24" t="str">
        <f t="shared" si="2"/>
        <v/>
      </c>
      <c r="AG5" s="24" t="str">
        <f t="shared" si="2"/>
        <v/>
      </c>
      <c r="AH5" s="24" t="str">
        <f t="shared" si="2"/>
        <v/>
      </c>
      <c r="AI5" s="24" t="str">
        <f t="shared" si="2"/>
        <v/>
      </c>
      <c r="AJ5" s="49"/>
      <c r="AK5" s="49"/>
      <c r="AL5" s="20"/>
      <c r="AM5" s="233"/>
      <c r="AN5" s="107" t="str">
        <f t="shared" ref="AN5:AU9" si="3">IF(ISBLANK(AN16),"",AN16)</f>
        <v/>
      </c>
      <c r="AO5" s="125" t="str">
        <f t="shared" si="3"/>
        <v/>
      </c>
      <c r="AP5" s="107" t="str">
        <f t="shared" si="3"/>
        <v/>
      </c>
      <c r="AQ5" s="125" t="str">
        <f t="shared" si="3"/>
        <v/>
      </c>
      <c r="AR5" s="107" t="str">
        <f t="shared" si="3"/>
        <v/>
      </c>
      <c r="AS5" s="125" t="str">
        <f t="shared" si="3"/>
        <v/>
      </c>
      <c r="AT5" s="107" t="str">
        <f t="shared" si="3"/>
        <v/>
      </c>
      <c r="AU5" s="125" t="str">
        <f t="shared" si="3"/>
        <v/>
      </c>
      <c r="AV5" s="109" t="str">
        <f>IF(ISBLANK(AV33),"",AV33)</f>
        <v/>
      </c>
      <c r="AW5" s="88"/>
      <c r="AX5" s="131"/>
      <c r="AY5" s="234" t="e">
        <f>bdRateExtend($E5:$E9,F5:F9,$AC5:$AC9,AD5:AD9)</f>
        <v>#VALUE!</v>
      </c>
      <c r="AZ5" s="234" t="e">
        <f>bdRateExtend($E5:$E9,G5:G9,$AC5:$AC9,AE5:AE9)</f>
        <v>#VALUE!</v>
      </c>
      <c r="BA5" s="234" t="e">
        <f>bdRateExtend($E5:$E9,H5:H9,$AC5:$AC9,AF5:AF9)</f>
        <v>#VALUE!</v>
      </c>
      <c r="BB5" s="234"/>
      <c r="BC5" s="234" t="e">
        <f>bdRateExtend($E5:$E9,K5:K9,$AC5:$AC9,AI5:AI9)</f>
        <v>#VALUE!</v>
      </c>
      <c r="BD5" s="235"/>
      <c r="BE5" s="45"/>
      <c r="BF5" s="17" t="s">
        <v>81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1" t="s">
        <v>55</v>
      </c>
      <c r="D6" s="22"/>
      <c r="E6" s="129" t="str">
        <f>E24</f>
        <v/>
      </c>
      <c r="F6" s="84" t="str">
        <f t="shared" si="0"/>
        <v/>
      </c>
      <c r="G6" s="84" t="str">
        <f t="shared" si="0"/>
        <v/>
      </c>
      <c r="H6" s="84" t="str">
        <f t="shared" si="0"/>
        <v/>
      </c>
      <c r="I6" s="84" t="str">
        <f t="shared" si="0"/>
        <v/>
      </c>
      <c r="J6" s="84" t="str">
        <f t="shared" si="0"/>
        <v/>
      </c>
      <c r="K6" s="84" t="str">
        <f t="shared" si="0"/>
        <v/>
      </c>
      <c r="L6" s="50"/>
      <c r="M6" s="50"/>
      <c r="N6" s="22"/>
      <c r="O6" s="50"/>
      <c r="P6" s="107" t="str">
        <f t="shared" si="1"/>
        <v/>
      </c>
      <c r="Q6" s="107" t="str">
        <f t="shared" si="1"/>
        <v/>
      </c>
      <c r="R6" s="107" t="str">
        <f t="shared" si="1"/>
        <v/>
      </c>
      <c r="S6" s="107" t="str">
        <f t="shared" si="1"/>
        <v/>
      </c>
      <c r="T6" s="107" t="str">
        <f t="shared" si="1"/>
        <v/>
      </c>
      <c r="U6" s="107" t="str">
        <f t="shared" si="1"/>
        <v/>
      </c>
      <c r="V6" s="107" t="str">
        <f t="shared" si="1"/>
        <v/>
      </c>
      <c r="W6" s="107" t="str">
        <f t="shared" si="1"/>
        <v/>
      </c>
      <c r="X6" s="109" t="str">
        <f>IF(ISBLANK(X34),"",X34)</f>
        <v/>
      </c>
      <c r="Y6" s="209"/>
      <c r="Z6" s="271"/>
      <c r="AA6" s="21" t="s">
        <v>55</v>
      </c>
      <c r="AB6" s="22"/>
      <c r="AC6" s="129" t="str">
        <f>AC24</f>
        <v/>
      </c>
      <c r="AD6" s="84" t="str">
        <f t="shared" si="2"/>
        <v/>
      </c>
      <c r="AE6" s="84" t="str">
        <f t="shared" si="2"/>
        <v/>
      </c>
      <c r="AF6" s="84" t="str">
        <f t="shared" si="2"/>
        <v/>
      </c>
      <c r="AG6" s="84" t="str">
        <f t="shared" si="2"/>
        <v/>
      </c>
      <c r="AH6" s="84" t="str">
        <f t="shared" si="2"/>
        <v/>
      </c>
      <c r="AI6" s="84" t="str">
        <f t="shared" si="2"/>
        <v/>
      </c>
      <c r="AJ6" s="50"/>
      <c r="AK6" s="50"/>
      <c r="AL6" s="22"/>
      <c r="AM6" s="233"/>
      <c r="AN6" s="107" t="str">
        <f t="shared" si="3"/>
        <v/>
      </c>
      <c r="AO6" s="107" t="str">
        <f t="shared" si="3"/>
        <v/>
      </c>
      <c r="AP6" s="107" t="str">
        <f t="shared" si="3"/>
        <v/>
      </c>
      <c r="AQ6" s="107" t="str">
        <f t="shared" si="3"/>
        <v/>
      </c>
      <c r="AR6" s="107" t="str">
        <f t="shared" si="3"/>
        <v/>
      </c>
      <c r="AS6" s="107" t="str">
        <f t="shared" si="3"/>
        <v/>
      </c>
      <c r="AT6" s="107" t="str">
        <f t="shared" si="3"/>
        <v/>
      </c>
      <c r="AU6" s="107" t="str">
        <f t="shared" si="3"/>
        <v/>
      </c>
      <c r="AV6" s="109" t="str">
        <f>IF(ISBLANK(AV34),"",AV34)</f>
        <v/>
      </c>
      <c r="AW6" s="88"/>
      <c r="AX6" s="131"/>
      <c r="AY6" s="237"/>
      <c r="AZ6" s="238"/>
      <c r="BA6" s="132"/>
      <c r="BB6" s="132"/>
      <c r="BC6" s="37"/>
      <c r="BD6" s="235"/>
      <c r="BE6" s="235"/>
      <c r="BF6" s="32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1" t="s">
        <v>56</v>
      </c>
      <c r="D7" s="22"/>
      <c r="E7" s="129" t="str">
        <f>E25</f>
        <v/>
      </c>
      <c r="F7" s="84" t="str">
        <f t="shared" si="0"/>
        <v/>
      </c>
      <c r="G7" s="84" t="str">
        <f t="shared" si="0"/>
        <v/>
      </c>
      <c r="H7" s="84" t="str">
        <f t="shared" si="0"/>
        <v/>
      </c>
      <c r="I7" s="84" t="str">
        <f t="shared" si="0"/>
        <v/>
      </c>
      <c r="J7" s="84" t="str">
        <f t="shared" si="0"/>
        <v/>
      </c>
      <c r="K7" s="84" t="str">
        <f t="shared" si="0"/>
        <v/>
      </c>
      <c r="L7" s="50"/>
      <c r="M7" s="50"/>
      <c r="N7" s="22"/>
      <c r="O7" s="50"/>
      <c r="P7" s="107" t="str">
        <f t="shared" si="1"/>
        <v/>
      </c>
      <c r="Q7" s="107" t="str">
        <f t="shared" si="1"/>
        <v/>
      </c>
      <c r="R7" s="107" t="str">
        <f t="shared" si="1"/>
        <v/>
      </c>
      <c r="S7" s="107" t="str">
        <f t="shared" si="1"/>
        <v/>
      </c>
      <c r="T7" s="107" t="str">
        <f t="shared" si="1"/>
        <v/>
      </c>
      <c r="U7" s="107" t="str">
        <f t="shared" si="1"/>
        <v/>
      </c>
      <c r="V7" s="107" t="str">
        <f t="shared" si="1"/>
        <v/>
      </c>
      <c r="W7" s="107" t="str">
        <f t="shared" si="1"/>
        <v/>
      </c>
      <c r="X7" s="109" t="str">
        <f>IF(ISBLANK(X35),"",X35)</f>
        <v/>
      </c>
      <c r="Y7" s="209"/>
      <c r="Z7" s="271"/>
      <c r="AA7" s="21" t="s">
        <v>56</v>
      </c>
      <c r="AB7" s="22"/>
      <c r="AC7" s="129" t="str">
        <f>AC25</f>
        <v/>
      </c>
      <c r="AD7" s="84" t="str">
        <f t="shared" si="2"/>
        <v/>
      </c>
      <c r="AE7" s="84" t="str">
        <f t="shared" si="2"/>
        <v/>
      </c>
      <c r="AF7" s="84" t="str">
        <f t="shared" si="2"/>
        <v/>
      </c>
      <c r="AG7" s="84" t="str">
        <f t="shared" si="2"/>
        <v/>
      </c>
      <c r="AH7" s="84" t="str">
        <f t="shared" si="2"/>
        <v/>
      </c>
      <c r="AI7" s="84" t="str">
        <f t="shared" si="2"/>
        <v/>
      </c>
      <c r="AJ7" s="50"/>
      <c r="AK7" s="50"/>
      <c r="AL7" s="22"/>
      <c r="AM7" s="233"/>
      <c r="AN7" s="107" t="str">
        <f t="shared" si="3"/>
        <v/>
      </c>
      <c r="AO7" s="107" t="str">
        <f t="shared" si="3"/>
        <v/>
      </c>
      <c r="AP7" s="107" t="str">
        <f t="shared" si="3"/>
        <v/>
      </c>
      <c r="AQ7" s="107" t="str">
        <f t="shared" si="3"/>
        <v/>
      </c>
      <c r="AR7" s="107" t="str">
        <f t="shared" si="3"/>
        <v/>
      </c>
      <c r="AS7" s="107" t="str">
        <f t="shared" si="3"/>
        <v/>
      </c>
      <c r="AT7" s="107" t="str">
        <f t="shared" si="3"/>
        <v/>
      </c>
      <c r="AU7" s="107" t="str">
        <f t="shared" si="3"/>
        <v/>
      </c>
      <c r="AV7" s="109" t="str">
        <f>IF(ISBLANK(AV35),"",AV35)</f>
        <v/>
      </c>
      <c r="AW7" s="88"/>
      <c r="AX7" s="131"/>
      <c r="AY7" s="237"/>
      <c r="AZ7" s="238"/>
      <c r="BA7" s="132"/>
      <c r="BB7" s="132"/>
      <c r="BC7" s="37"/>
      <c r="BD7" s="235"/>
      <c r="BE7" s="46"/>
      <c r="BF7" s="17" t="s">
        <v>82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1" t="s">
        <v>57</v>
      </c>
      <c r="D8" s="22"/>
      <c r="E8" s="129" t="str">
        <f>E26</f>
        <v/>
      </c>
      <c r="F8" s="84" t="str">
        <f t="shared" si="0"/>
        <v/>
      </c>
      <c r="G8" s="84" t="str">
        <f t="shared" si="0"/>
        <v/>
      </c>
      <c r="H8" s="84" t="str">
        <f t="shared" si="0"/>
        <v/>
      </c>
      <c r="I8" s="84" t="str">
        <f t="shared" si="0"/>
        <v/>
      </c>
      <c r="J8" s="84" t="str">
        <f t="shared" si="0"/>
        <v/>
      </c>
      <c r="K8" s="84" t="str">
        <f t="shared" si="0"/>
        <v/>
      </c>
      <c r="L8" s="50"/>
      <c r="M8" s="50"/>
      <c r="N8" s="22"/>
      <c r="O8" s="50"/>
      <c r="P8" s="107" t="str">
        <f t="shared" si="1"/>
        <v/>
      </c>
      <c r="Q8" s="107" t="str">
        <f t="shared" si="1"/>
        <v/>
      </c>
      <c r="R8" s="107" t="str">
        <f t="shared" si="1"/>
        <v/>
      </c>
      <c r="S8" s="107" t="str">
        <f t="shared" si="1"/>
        <v/>
      </c>
      <c r="T8" s="107" t="str">
        <f t="shared" si="1"/>
        <v/>
      </c>
      <c r="U8" s="107" t="str">
        <f t="shared" si="1"/>
        <v/>
      </c>
      <c r="V8" s="107" t="str">
        <f t="shared" si="1"/>
        <v/>
      </c>
      <c r="W8" s="107" t="str">
        <f t="shared" si="1"/>
        <v/>
      </c>
      <c r="X8" s="109" t="str">
        <f>IF(ISBLANK(X36),"",X36)</f>
        <v/>
      </c>
      <c r="Y8" s="209"/>
      <c r="Z8" s="271"/>
      <c r="AA8" s="21" t="s">
        <v>57</v>
      </c>
      <c r="AB8" s="22"/>
      <c r="AC8" s="129" t="str">
        <f>AC26</f>
        <v/>
      </c>
      <c r="AD8" s="84" t="str">
        <f t="shared" si="2"/>
        <v/>
      </c>
      <c r="AE8" s="84" t="str">
        <f t="shared" si="2"/>
        <v/>
      </c>
      <c r="AF8" s="84" t="str">
        <f t="shared" si="2"/>
        <v/>
      </c>
      <c r="AG8" s="84" t="str">
        <f t="shared" si="2"/>
        <v/>
      </c>
      <c r="AH8" s="84" t="str">
        <f t="shared" si="2"/>
        <v/>
      </c>
      <c r="AI8" s="84" t="str">
        <f t="shared" si="2"/>
        <v/>
      </c>
      <c r="AJ8" s="50"/>
      <c r="AK8" s="50"/>
      <c r="AL8" s="22"/>
      <c r="AM8" s="233"/>
      <c r="AN8" s="107" t="str">
        <f t="shared" si="3"/>
        <v/>
      </c>
      <c r="AO8" s="107" t="str">
        <f t="shared" si="3"/>
        <v/>
      </c>
      <c r="AP8" s="107" t="str">
        <f t="shared" si="3"/>
        <v/>
      </c>
      <c r="AQ8" s="107" t="str">
        <f t="shared" si="3"/>
        <v/>
      </c>
      <c r="AR8" s="107" t="str">
        <f t="shared" si="3"/>
        <v/>
      </c>
      <c r="AS8" s="107" t="str">
        <f t="shared" si="3"/>
        <v/>
      </c>
      <c r="AT8" s="107" t="str">
        <f t="shared" si="3"/>
        <v/>
      </c>
      <c r="AU8" s="107" t="str">
        <f t="shared" si="3"/>
        <v/>
      </c>
      <c r="AV8" s="109" t="str">
        <f>IF(ISBLANK(AV36),"",AV36)</f>
        <v/>
      </c>
      <c r="AW8" s="88"/>
      <c r="AX8" s="131"/>
      <c r="AY8" s="38"/>
      <c r="AZ8" s="132"/>
      <c r="BA8" s="132"/>
      <c r="BB8" s="132"/>
      <c r="BC8" s="37"/>
      <c r="BD8" s="32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3"/>
      <c r="C9" s="21" t="s">
        <v>58</v>
      </c>
      <c r="D9" s="22"/>
      <c r="E9" s="129" t="str">
        <f>E27</f>
        <v/>
      </c>
      <c r="F9" s="28" t="str">
        <f t="shared" si="0"/>
        <v/>
      </c>
      <c r="G9" s="28" t="str">
        <f t="shared" si="0"/>
        <v/>
      </c>
      <c r="H9" s="28" t="str">
        <f t="shared" si="0"/>
        <v/>
      </c>
      <c r="I9" s="28" t="str">
        <f t="shared" si="0"/>
        <v/>
      </c>
      <c r="J9" s="28" t="str">
        <f t="shared" si="0"/>
        <v/>
      </c>
      <c r="K9" s="28" t="str">
        <f t="shared" si="0"/>
        <v/>
      </c>
      <c r="L9" s="50"/>
      <c r="M9" s="50"/>
      <c r="N9" s="22"/>
      <c r="O9" s="50"/>
      <c r="P9" s="107" t="str">
        <f t="shared" si="1"/>
        <v/>
      </c>
      <c r="Q9" s="107" t="str">
        <f t="shared" si="1"/>
        <v/>
      </c>
      <c r="R9" s="107" t="str">
        <f t="shared" si="1"/>
        <v/>
      </c>
      <c r="S9" s="107" t="str">
        <f t="shared" si="1"/>
        <v/>
      </c>
      <c r="T9" s="107" t="str">
        <f t="shared" si="1"/>
        <v/>
      </c>
      <c r="U9" s="107" t="str">
        <f t="shared" si="1"/>
        <v/>
      </c>
      <c r="V9" s="107" t="str">
        <f t="shared" si="1"/>
        <v/>
      </c>
      <c r="W9" s="107" t="str">
        <f t="shared" si="1"/>
        <v/>
      </c>
      <c r="X9" s="109" t="str">
        <f>IF(ISBLANK(X37),"",X37)</f>
        <v/>
      </c>
      <c r="Y9" s="209"/>
      <c r="Z9" s="271"/>
      <c r="AA9" s="21" t="s">
        <v>58</v>
      </c>
      <c r="AB9" s="22"/>
      <c r="AC9" s="129" t="str">
        <f>AC27</f>
        <v/>
      </c>
      <c r="AD9" s="84" t="str">
        <f t="shared" si="2"/>
        <v/>
      </c>
      <c r="AE9" s="84" t="str">
        <f t="shared" si="2"/>
        <v/>
      </c>
      <c r="AF9" s="84" t="str">
        <f t="shared" si="2"/>
        <v/>
      </c>
      <c r="AG9" s="84" t="str">
        <f t="shared" si="2"/>
        <v/>
      </c>
      <c r="AH9" s="84" t="str">
        <f t="shared" si="2"/>
        <v/>
      </c>
      <c r="AI9" s="84" t="str">
        <f t="shared" si="2"/>
        <v/>
      </c>
      <c r="AJ9" s="50"/>
      <c r="AK9" s="50"/>
      <c r="AL9" s="22"/>
      <c r="AM9" s="233"/>
      <c r="AN9" s="107" t="str">
        <f t="shared" si="3"/>
        <v/>
      </c>
      <c r="AO9" s="107" t="str">
        <f t="shared" si="3"/>
        <v/>
      </c>
      <c r="AP9" s="107" t="str">
        <f t="shared" si="3"/>
        <v/>
      </c>
      <c r="AQ9" s="107" t="str">
        <f t="shared" si="3"/>
        <v/>
      </c>
      <c r="AR9" s="107" t="str">
        <f t="shared" si="3"/>
        <v/>
      </c>
      <c r="AS9" s="107" t="str">
        <f t="shared" si="3"/>
        <v/>
      </c>
      <c r="AT9" s="107" t="str">
        <f t="shared" si="3"/>
        <v/>
      </c>
      <c r="AU9" s="107" t="str">
        <f t="shared" si="3"/>
        <v/>
      </c>
      <c r="AV9" s="109" t="str">
        <f>IF(ISBLANK(AV37),"",AV37)</f>
        <v/>
      </c>
      <c r="AW9" s="88"/>
      <c r="AX9" s="131"/>
      <c r="AY9" s="39"/>
      <c r="AZ9" s="124"/>
      <c r="BA9" s="124"/>
      <c r="BB9" s="124"/>
      <c r="BC9" s="40"/>
      <c r="BD9" s="88"/>
      <c r="BE9" s="88"/>
      <c r="BF9" s="88"/>
      <c r="BR9" s="11"/>
    </row>
    <row r="10" spans="1:70" ht="13.5" customHeight="1" thickBot="1" x14ac:dyDescent="0.2">
      <c r="B10" s="127" t="s">
        <v>83</v>
      </c>
      <c r="C10" s="111"/>
      <c r="D10" s="111"/>
      <c r="E10" s="239"/>
      <c r="F10" s="52"/>
      <c r="G10" s="52"/>
      <c r="H10" s="52"/>
      <c r="I10" s="52"/>
      <c r="J10" s="52"/>
      <c r="K10" s="52"/>
      <c r="L10" s="111"/>
      <c r="M10" s="113"/>
      <c r="N10" s="113"/>
      <c r="O10" s="240"/>
      <c r="P10" s="239"/>
      <c r="Q10" s="112"/>
      <c r="R10" s="112"/>
      <c r="S10" s="112"/>
      <c r="T10" s="112"/>
      <c r="U10" s="112"/>
      <c r="V10" s="112"/>
      <c r="W10" s="111"/>
      <c r="X10" s="113"/>
      <c r="Y10" s="209"/>
      <c r="Z10" s="127" t="s">
        <v>83</v>
      </c>
      <c r="AA10" s="111"/>
      <c r="AB10" s="111"/>
      <c r="AC10" s="239"/>
      <c r="AD10" s="112"/>
      <c r="AE10" s="112"/>
      <c r="AF10" s="112"/>
      <c r="AG10" s="112"/>
      <c r="AH10" s="112"/>
      <c r="AI10" s="112"/>
      <c r="AJ10" s="111"/>
      <c r="AK10" s="113"/>
      <c r="AL10" s="113"/>
      <c r="AM10" s="240"/>
      <c r="AN10" s="112"/>
      <c r="AO10" s="112"/>
      <c r="AP10" s="112"/>
      <c r="AQ10" s="112"/>
      <c r="AR10" s="112"/>
      <c r="AS10" s="112"/>
      <c r="AT10" s="111"/>
      <c r="AU10" s="113"/>
      <c r="AV10" s="113"/>
      <c r="AW10" s="88"/>
      <c r="AX10" s="133"/>
      <c r="AY10" s="41"/>
      <c r="AZ10" s="42"/>
      <c r="BA10" s="42"/>
      <c r="BB10" s="42"/>
      <c r="BC10" s="43"/>
      <c r="BD10" s="88"/>
      <c r="BE10" s="88"/>
      <c r="BF10" s="88"/>
      <c r="BR10" s="11"/>
    </row>
    <row r="11" spans="1:70" ht="13.5" customHeight="1" x14ac:dyDescent="0.15">
      <c r="B11" s="209"/>
      <c r="C11" s="209"/>
      <c r="D11" s="209"/>
      <c r="E11" s="241"/>
      <c r="F11" s="84"/>
      <c r="G11" s="84"/>
      <c r="H11" s="84"/>
      <c r="I11" s="84"/>
      <c r="J11" s="84"/>
      <c r="K11" s="84"/>
      <c r="L11" s="209"/>
      <c r="M11" s="85"/>
      <c r="N11" s="85"/>
      <c r="O11" s="242"/>
      <c r="P11" s="84"/>
      <c r="Q11" s="84"/>
      <c r="R11" s="84"/>
      <c r="S11" s="84"/>
      <c r="T11" s="84"/>
      <c r="U11" s="84"/>
      <c r="V11" s="84"/>
      <c r="W11" s="84"/>
      <c r="X11" s="107"/>
      <c r="Y11" s="209"/>
      <c r="Z11" s="209"/>
      <c r="AA11" s="209"/>
      <c r="AB11" s="209"/>
      <c r="AC11" s="241"/>
      <c r="AD11" s="84"/>
      <c r="AE11" s="84"/>
      <c r="AF11" s="84"/>
      <c r="AG11" s="84"/>
      <c r="AH11" s="84"/>
      <c r="AI11" s="84"/>
      <c r="AJ11" s="209"/>
      <c r="AK11" s="85"/>
      <c r="AL11" s="85"/>
      <c r="AM11" s="242"/>
      <c r="AN11" s="84"/>
      <c r="AO11" s="84"/>
      <c r="AP11" s="84"/>
      <c r="AQ11" s="84"/>
      <c r="AR11" s="84"/>
      <c r="AS11" s="84"/>
      <c r="AT11" s="84"/>
      <c r="AU11" s="84"/>
      <c r="AV11" s="107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R11" s="11"/>
    </row>
    <row r="12" spans="1:70" ht="13.5" customHeight="1" thickBot="1" x14ac:dyDescent="0.2">
      <c r="B12" s="209"/>
      <c r="C12" s="209"/>
      <c r="D12" s="209"/>
      <c r="E12" s="241"/>
      <c r="F12" s="84"/>
      <c r="G12" s="84"/>
      <c r="H12" s="84"/>
      <c r="I12" s="84"/>
      <c r="J12" s="84"/>
      <c r="K12" s="84"/>
      <c r="L12" s="209"/>
      <c r="M12" s="85"/>
      <c r="N12" s="85"/>
      <c r="O12" s="242"/>
      <c r="P12" s="84"/>
      <c r="Q12" s="84"/>
      <c r="R12" s="84"/>
      <c r="S12" s="84"/>
      <c r="T12" s="84"/>
      <c r="U12" s="84"/>
      <c r="V12" s="84"/>
      <c r="W12" s="84"/>
      <c r="X12" s="107"/>
      <c r="Y12" s="209"/>
      <c r="Z12" s="209"/>
      <c r="AA12" s="209"/>
      <c r="AB12" s="209"/>
      <c r="AC12" s="241"/>
      <c r="AD12" s="84"/>
      <c r="AE12" s="84"/>
      <c r="AF12" s="84"/>
      <c r="AG12" s="84"/>
      <c r="AH12" s="84"/>
      <c r="AI12" s="84"/>
      <c r="AJ12" s="209"/>
      <c r="AK12" s="85"/>
      <c r="AL12" s="85"/>
      <c r="AM12" s="242"/>
      <c r="AN12" s="84"/>
      <c r="AO12" s="84"/>
      <c r="AP12" s="84"/>
      <c r="AQ12" s="84"/>
      <c r="AR12" s="84"/>
      <c r="AS12" s="84"/>
      <c r="AT12" s="84"/>
      <c r="AU12" s="84"/>
      <c r="AV12" s="107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R12" s="11"/>
    </row>
    <row r="13" spans="1:70" ht="18" customHeight="1" thickBot="1" x14ac:dyDescent="0.3">
      <c r="B13" s="123"/>
      <c r="C13" s="274" t="e">
        <f>CONCATENATE("Encoding/Decoding [ ",#REF!," ]")</f>
        <v>#REF!</v>
      </c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/>
      <c r="Z13" s="18"/>
      <c r="AA13" s="274" t="e">
        <f>CONCATENATE("Encoding [ ",#REF!," ]")</f>
        <v>#REF!</v>
      </c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6"/>
    </row>
    <row r="14" spans="1:70" ht="17.25" customHeight="1" x14ac:dyDescent="0.25">
      <c r="B14" s="128"/>
      <c r="C14" s="94"/>
      <c r="D14" s="94"/>
      <c r="E14" s="243" t="s">
        <v>84</v>
      </c>
      <c r="F14" s="110" t="s">
        <v>85</v>
      </c>
      <c r="G14" s="110" t="s">
        <v>86</v>
      </c>
      <c r="H14" s="110" t="s">
        <v>87</v>
      </c>
      <c r="I14" s="110" t="s">
        <v>88</v>
      </c>
      <c r="J14" s="110" t="s">
        <v>89</v>
      </c>
      <c r="K14" s="110" t="s">
        <v>90</v>
      </c>
      <c r="L14" s="110" t="s">
        <v>91</v>
      </c>
      <c r="M14" s="95" t="s">
        <v>92</v>
      </c>
      <c r="N14" s="95"/>
      <c r="O14" s="244"/>
      <c r="P14" s="110" t="s">
        <v>52</v>
      </c>
      <c r="Q14" s="110" t="s">
        <v>52</v>
      </c>
      <c r="R14" s="167" t="s">
        <v>93</v>
      </c>
      <c r="S14" s="167" t="s">
        <v>93</v>
      </c>
      <c r="T14" s="167" t="s">
        <v>94</v>
      </c>
      <c r="U14" s="167" t="s">
        <v>94</v>
      </c>
      <c r="V14" s="167" t="s">
        <v>95</v>
      </c>
      <c r="W14" s="167" t="s">
        <v>95</v>
      </c>
      <c r="X14" s="96"/>
      <c r="Y14" s="88"/>
      <c r="Z14" s="128"/>
      <c r="AA14" s="94"/>
      <c r="AB14" s="94"/>
      <c r="AC14" s="243" t="s">
        <v>84</v>
      </c>
      <c r="AD14" s="110" t="s">
        <v>85</v>
      </c>
      <c r="AE14" s="110" t="s">
        <v>86</v>
      </c>
      <c r="AF14" s="110" t="s">
        <v>86</v>
      </c>
      <c r="AG14" s="110" t="s">
        <v>86</v>
      </c>
      <c r="AH14" s="110" t="s">
        <v>89</v>
      </c>
      <c r="AI14" s="110" t="s">
        <v>90</v>
      </c>
      <c r="AJ14" s="110" t="s">
        <v>91</v>
      </c>
      <c r="AK14" s="95" t="s">
        <v>92</v>
      </c>
      <c r="AL14" s="95"/>
      <c r="AM14" s="244"/>
      <c r="AN14" s="110" t="s">
        <v>52</v>
      </c>
      <c r="AO14" s="110" t="s">
        <v>52</v>
      </c>
      <c r="AP14" s="167" t="s">
        <v>93</v>
      </c>
      <c r="AQ14" s="167" t="s">
        <v>93</v>
      </c>
      <c r="AR14" s="167" t="s">
        <v>94</v>
      </c>
      <c r="AS14" s="167" t="s">
        <v>94</v>
      </c>
      <c r="AT14" s="167" t="s">
        <v>95</v>
      </c>
      <c r="AU14" s="167" t="s">
        <v>95</v>
      </c>
      <c r="AV14" s="96"/>
      <c r="AW14" s="88"/>
      <c r="AX14" s="284" t="s">
        <v>96</v>
      </c>
      <c r="AY14" s="268"/>
      <c r="AZ14" s="284" t="s">
        <v>97</v>
      </c>
      <c r="BA14" s="268"/>
      <c r="BB14" s="284" t="s">
        <v>98</v>
      </c>
      <c r="BC14" s="268"/>
      <c r="BD14" s="284" t="s">
        <v>99</v>
      </c>
      <c r="BE14" s="268"/>
      <c r="BF14" s="88"/>
      <c r="BH14" s="267"/>
      <c r="BI14" s="268"/>
      <c r="BJ14" s="268"/>
      <c r="BN14" s="82"/>
      <c r="BO14" s="82"/>
    </row>
    <row r="15" spans="1:70" s="7" customFormat="1" ht="18" customHeight="1" thickBot="1" x14ac:dyDescent="0.3">
      <c r="B15" s="122"/>
      <c r="C15" s="27"/>
      <c r="D15" s="27"/>
      <c r="E15" s="231" t="s">
        <v>77</v>
      </c>
      <c r="F15" s="231" t="s">
        <v>77</v>
      </c>
      <c r="G15" s="231" t="s">
        <v>77</v>
      </c>
      <c r="H15" s="231" t="s">
        <v>77</v>
      </c>
      <c r="I15" s="231" t="s">
        <v>77</v>
      </c>
      <c r="J15" s="231" t="s">
        <v>77</v>
      </c>
      <c r="K15" s="231" t="s">
        <v>77</v>
      </c>
      <c r="L15" s="231" t="s">
        <v>77</v>
      </c>
      <c r="M15" s="231" t="s">
        <v>77</v>
      </c>
      <c r="N15" s="28"/>
      <c r="O15" s="232"/>
      <c r="P15" s="29" t="s">
        <v>100</v>
      </c>
      <c r="Q15" s="29" t="s">
        <v>101</v>
      </c>
      <c r="R15" s="29" t="s">
        <v>100</v>
      </c>
      <c r="S15" s="29" t="s">
        <v>101</v>
      </c>
      <c r="T15" s="29" t="s">
        <v>100</v>
      </c>
      <c r="U15" s="29" t="s">
        <v>101</v>
      </c>
      <c r="V15" s="29" t="s">
        <v>102</v>
      </c>
      <c r="W15" s="29" t="s">
        <v>103</v>
      </c>
      <c r="X15" s="30"/>
      <c r="Y15" s="209"/>
      <c r="Z15" s="122"/>
      <c r="AA15" s="27"/>
      <c r="AB15" s="27"/>
      <c r="AC15" s="231" t="s">
        <v>77</v>
      </c>
      <c r="AD15" s="231" t="s">
        <v>77</v>
      </c>
      <c r="AE15" s="231" t="s">
        <v>77</v>
      </c>
      <c r="AF15" s="231" t="s">
        <v>77</v>
      </c>
      <c r="AG15" s="231" t="s">
        <v>77</v>
      </c>
      <c r="AH15" s="231" t="s">
        <v>77</v>
      </c>
      <c r="AI15" s="231" t="s">
        <v>77</v>
      </c>
      <c r="AJ15" s="231" t="s">
        <v>77</v>
      </c>
      <c r="AK15" s="231" t="s">
        <v>77</v>
      </c>
      <c r="AL15" s="28"/>
      <c r="AM15" s="232"/>
      <c r="AN15" s="29" t="s">
        <v>100</v>
      </c>
      <c r="AO15" s="29" t="s">
        <v>101</v>
      </c>
      <c r="AP15" s="29" t="s">
        <v>100</v>
      </c>
      <c r="AQ15" s="29" t="s">
        <v>101</v>
      </c>
      <c r="AR15" s="29" t="s">
        <v>100</v>
      </c>
      <c r="AS15" s="29" t="s">
        <v>101</v>
      </c>
      <c r="AT15" s="29" t="s">
        <v>102</v>
      </c>
      <c r="AU15" s="29" t="s">
        <v>103</v>
      </c>
      <c r="AV15" s="30"/>
      <c r="AW15" s="209"/>
      <c r="AX15" s="208" t="s">
        <v>104</v>
      </c>
      <c r="AY15" s="154" t="s">
        <v>105</v>
      </c>
      <c r="AZ15" s="208" t="s">
        <v>104</v>
      </c>
      <c r="BA15" s="154" t="s">
        <v>105</v>
      </c>
      <c r="BB15" s="208" t="s">
        <v>104</v>
      </c>
      <c r="BC15" s="154" t="s">
        <v>105</v>
      </c>
      <c r="BD15" s="208" t="s">
        <v>104</v>
      </c>
      <c r="BE15" s="154" t="s">
        <v>105</v>
      </c>
      <c r="BF15" s="209"/>
      <c r="BL15" s="207"/>
      <c r="BM15" s="207"/>
      <c r="BN15" s="82"/>
      <c r="BO15" s="82"/>
    </row>
    <row r="16" spans="1:70" ht="12.75" customHeight="1" x14ac:dyDescent="0.25">
      <c r="B16" s="285"/>
      <c r="C16" s="19" t="s">
        <v>54</v>
      </c>
      <c r="D16" s="20"/>
      <c r="E16" s="106"/>
      <c r="F16" s="106"/>
      <c r="G16" s="138"/>
      <c r="H16" s="138"/>
      <c r="I16" s="138"/>
      <c r="J16" s="138"/>
      <c r="K16" s="54"/>
      <c r="L16" s="54"/>
      <c r="M16" s="54"/>
      <c r="N16" s="49"/>
      <c r="O16" s="245"/>
      <c r="P16" s="152"/>
      <c r="Q16" s="152"/>
      <c r="R16" s="152"/>
      <c r="S16" s="152"/>
      <c r="T16" s="152"/>
      <c r="U16" s="152"/>
      <c r="V16" s="152"/>
      <c r="W16" s="152"/>
      <c r="X16" s="118"/>
      <c r="Y16" s="209"/>
      <c r="Z16" s="285"/>
      <c r="AA16" s="19" t="s">
        <v>54</v>
      </c>
      <c r="AB16" s="20"/>
      <c r="AC16" s="106"/>
      <c r="AD16" s="106"/>
      <c r="AE16" s="138"/>
      <c r="AF16" s="138"/>
      <c r="AG16" s="138"/>
      <c r="AH16" s="138"/>
      <c r="AI16" s="54"/>
      <c r="AJ16" s="54"/>
      <c r="AK16" s="54"/>
      <c r="AL16" s="49"/>
      <c r="AM16" s="245"/>
      <c r="AN16" s="152"/>
      <c r="AO16" s="152"/>
      <c r="AP16" s="152"/>
      <c r="AQ16" s="152"/>
      <c r="AR16" s="152"/>
      <c r="AS16" s="152"/>
      <c r="AT16" s="152"/>
      <c r="AU16" s="152"/>
      <c r="AV16" s="118"/>
      <c r="AW16" s="88"/>
      <c r="AX16" s="155" t="e">
        <f t="shared" ref="AX16:BE19" si="4">AN16/P16</f>
        <v>#DIV/0!</v>
      </c>
      <c r="AY16" s="194" t="e">
        <f t="shared" si="4"/>
        <v>#DIV/0!</v>
      </c>
      <c r="AZ16" s="155" t="e">
        <f t="shared" si="4"/>
        <v>#DIV/0!</v>
      </c>
      <c r="BA16" s="194" t="e">
        <f t="shared" si="4"/>
        <v>#DIV/0!</v>
      </c>
      <c r="BB16" s="155" t="e">
        <f t="shared" si="4"/>
        <v>#DIV/0!</v>
      </c>
      <c r="BC16" s="194" t="e">
        <f t="shared" si="4"/>
        <v>#DIV/0!</v>
      </c>
      <c r="BD16" s="155" t="e">
        <f t="shared" si="4"/>
        <v>#DIV/0!</v>
      </c>
      <c r="BE16" s="194" t="e">
        <f t="shared" si="4"/>
        <v>#DIV/0!</v>
      </c>
      <c r="BF16" s="88"/>
      <c r="BJ16" s="11"/>
      <c r="BL16" s="82"/>
      <c r="BM16" s="48"/>
      <c r="BN16" s="82"/>
      <c r="BO16" s="82"/>
      <c r="BP16" s="8"/>
    </row>
    <row r="17" spans="2:68" ht="12.75" customHeight="1" x14ac:dyDescent="0.25">
      <c r="B17" s="271"/>
      <c r="C17" s="21" t="s">
        <v>55</v>
      </c>
      <c r="D17" s="22"/>
      <c r="E17" s="119"/>
      <c r="F17" s="119"/>
      <c r="G17" s="139"/>
      <c r="H17" s="139"/>
      <c r="I17" s="139"/>
      <c r="J17" s="139"/>
      <c r="K17" s="55"/>
      <c r="L17" s="55"/>
      <c r="M17" s="55"/>
      <c r="N17" s="50"/>
      <c r="O17" s="233"/>
      <c r="P17" s="153"/>
      <c r="Q17" s="153"/>
      <c r="R17" s="153"/>
      <c r="S17" s="153"/>
      <c r="T17" s="153"/>
      <c r="U17" s="153"/>
      <c r="V17" s="153"/>
      <c r="W17" s="153"/>
      <c r="X17" s="120"/>
      <c r="Y17" s="209"/>
      <c r="Z17" s="271"/>
      <c r="AA17" s="21" t="s">
        <v>55</v>
      </c>
      <c r="AB17" s="22"/>
      <c r="AC17" s="119"/>
      <c r="AD17" s="119"/>
      <c r="AE17" s="139"/>
      <c r="AF17" s="139"/>
      <c r="AG17" s="139"/>
      <c r="AH17" s="139"/>
      <c r="AI17" s="55"/>
      <c r="AJ17" s="55"/>
      <c r="AK17" s="55"/>
      <c r="AL17" s="50"/>
      <c r="AM17" s="233"/>
      <c r="AN17" s="153"/>
      <c r="AO17" s="153"/>
      <c r="AP17" s="153"/>
      <c r="AQ17" s="153"/>
      <c r="AR17" s="153"/>
      <c r="AS17" s="153"/>
      <c r="AT17" s="153"/>
      <c r="AU17" s="153"/>
      <c r="AV17" s="120"/>
      <c r="AW17" s="88"/>
      <c r="AX17" s="156" t="e">
        <f t="shared" si="4"/>
        <v>#DIV/0!</v>
      </c>
      <c r="AY17" s="157" t="e">
        <f t="shared" si="4"/>
        <v>#DIV/0!</v>
      </c>
      <c r="AZ17" s="156" t="e">
        <f t="shared" si="4"/>
        <v>#DIV/0!</v>
      </c>
      <c r="BA17" s="157" t="e">
        <f t="shared" si="4"/>
        <v>#DIV/0!</v>
      </c>
      <c r="BB17" s="156" t="e">
        <f t="shared" si="4"/>
        <v>#DIV/0!</v>
      </c>
      <c r="BC17" s="157" t="e">
        <f t="shared" si="4"/>
        <v>#DIV/0!</v>
      </c>
      <c r="BD17" s="156" t="e">
        <f t="shared" si="4"/>
        <v>#DIV/0!</v>
      </c>
      <c r="BE17" s="157" t="e">
        <f t="shared" si="4"/>
        <v>#DIV/0!</v>
      </c>
      <c r="BF17" s="88"/>
      <c r="BJ17" s="11"/>
      <c r="BL17" s="82"/>
      <c r="BM17" s="82"/>
      <c r="BN17" s="82"/>
      <c r="BO17" s="82"/>
      <c r="BP17" s="8"/>
    </row>
    <row r="18" spans="2:68" ht="12.75" customHeight="1" x14ac:dyDescent="0.25">
      <c r="B18" s="271"/>
      <c r="C18" s="21" t="s">
        <v>56</v>
      </c>
      <c r="D18" s="22"/>
      <c r="E18" s="119"/>
      <c r="F18" s="119"/>
      <c r="G18" s="139"/>
      <c r="H18" s="139"/>
      <c r="I18" s="139"/>
      <c r="J18" s="139"/>
      <c r="K18" s="55"/>
      <c r="L18" s="55"/>
      <c r="M18" s="55"/>
      <c r="N18" s="50"/>
      <c r="O18" s="233"/>
      <c r="P18" s="153"/>
      <c r="Q18" s="153"/>
      <c r="R18" s="153"/>
      <c r="S18" s="153"/>
      <c r="T18" s="153"/>
      <c r="U18" s="153"/>
      <c r="V18" s="153"/>
      <c r="W18" s="153"/>
      <c r="X18" s="120"/>
      <c r="Y18" s="209"/>
      <c r="Z18" s="271"/>
      <c r="AA18" s="21" t="s">
        <v>56</v>
      </c>
      <c r="AB18" s="22"/>
      <c r="AC18" s="119"/>
      <c r="AD18" s="119"/>
      <c r="AE18" s="139"/>
      <c r="AF18" s="139"/>
      <c r="AG18" s="139"/>
      <c r="AH18" s="139"/>
      <c r="AI18" s="55"/>
      <c r="AJ18" s="55"/>
      <c r="AK18" s="55"/>
      <c r="AL18" s="50"/>
      <c r="AM18" s="233"/>
      <c r="AN18" s="153"/>
      <c r="AO18" s="153"/>
      <c r="AP18" s="153"/>
      <c r="AQ18" s="153"/>
      <c r="AR18" s="153"/>
      <c r="AS18" s="153"/>
      <c r="AT18" s="153"/>
      <c r="AU18" s="153"/>
      <c r="AV18" s="120"/>
      <c r="AW18" s="88"/>
      <c r="AX18" s="156" t="e">
        <f t="shared" si="4"/>
        <v>#DIV/0!</v>
      </c>
      <c r="AY18" s="157" t="e">
        <f t="shared" si="4"/>
        <v>#DIV/0!</v>
      </c>
      <c r="AZ18" s="156" t="e">
        <f t="shared" si="4"/>
        <v>#DIV/0!</v>
      </c>
      <c r="BA18" s="157" t="e">
        <f t="shared" si="4"/>
        <v>#DIV/0!</v>
      </c>
      <c r="BB18" s="156" t="e">
        <f t="shared" si="4"/>
        <v>#DIV/0!</v>
      </c>
      <c r="BC18" s="157" t="e">
        <f t="shared" si="4"/>
        <v>#DIV/0!</v>
      </c>
      <c r="BD18" s="156" t="e">
        <f t="shared" si="4"/>
        <v>#DIV/0!</v>
      </c>
      <c r="BE18" s="157" t="e">
        <f t="shared" si="4"/>
        <v>#DIV/0!</v>
      </c>
      <c r="BF18" s="88"/>
      <c r="BJ18" s="11"/>
      <c r="BL18" s="82"/>
      <c r="BM18" s="47"/>
      <c r="BN18" s="82"/>
      <c r="BO18" s="82"/>
      <c r="BP18" s="8"/>
    </row>
    <row r="19" spans="2:68" ht="12.75" customHeight="1" x14ac:dyDescent="0.25">
      <c r="B19" s="271"/>
      <c r="C19" s="21" t="s">
        <v>57</v>
      </c>
      <c r="D19" s="22"/>
      <c r="E19" s="119"/>
      <c r="F19" s="119"/>
      <c r="G19" s="139"/>
      <c r="H19" s="139"/>
      <c r="I19" s="139"/>
      <c r="J19" s="139"/>
      <c r="K19" s="55"/>
      <c r="L19" s="55"/>
      <c r="M19" s="55"/>
      <c r="N19" s="50"/>
      <c r="O19" s="233"/>
      <c r="P19" s="153"/>
      <c r="Q19" s="153"/>
      <c r="R19" s="153"/>
      <c r="S19" s="153"/>
      <c r="T19" s="153"/>
      <c r="U19" s="153"/>
      <c r="V19" s="153"/>
      <c r="W19" s="153"/>
      <c r="X19" s="120"/>
      <c r="Y19" s="209"/>
      <c r="Z19" s="271"/>
      <c r="AA19" s="21" t="s">
        <v>57</v>
      </c>
      <c r="AB19" s="22"/>
      <c r="AC19" s="119"/>
      <c r="AD19" s="119"/>
      <c r="AE19" s="139"/>
      <c r="AF19" s="139"/>
      <c r="AG19" s="139"/>
      <c r="AH19" s="139"/>
      <c r="AI19" s="55"/>
      <c r="AJ19" s="55"/>
      <c r="AK19" s="55"/>
      <c r="AL19" s="50"/>
      <c r="AM19" s="233"/>
      <c r="AN19" s="153"/>
      <c r="AO19" s="153"/>
      <c r="AP19" s="153"/>
      <c r="AQ19" s="153"/>
      <c r="AR19" s="153"/>
      <c r="AS19" s="153"/>
      <c r="AT19" s="153"/>
      <c r="AU19" s="153"/>
      <c r="AV19" s="120"/>
      <c r="AW19" s="88"/>
      <c r="AX19" s="156" t="e">
        <f t="shared" si="4"/>
        <v>#DIV/0!</v>
      </c>
      <c r="AY19" s="157" t="e">
        <f t="shared" si="4"/>
        <v>#DIV/0!</v>
      </c>
      <c r="AZ19" s="156" t="e">
        <f t="shared" si="4"/>
        <v>#DIV/0!</v>
      </c>
      <c r="BA19" s="157" t="e">
        <f t="shared" si="4"/>
        <v>#DIV/0!</v>
      </c>
      <c r="BB19" s="156" t="e">
        <f t="shared" si="4"/>
        <v>#DIV/0!</v>
      </c>
      <c r="BC19" s="157" t="e">
        <f t="shared" si="4"/>
        <v>#DIV/0!</v>
      </c>
      <c r="BD19" s="156" t="e">
        <f t="shared" si="4"/>
        <v>#DIV/0!</v>
      </c>
      <c r="BE19" s="157" t="e">
        <f t="shared" si="4"/>
        <v>#DIV/0!</v>
      </c>
      <c r="BF19" s="88"/>
      <c r="BJ19" s="11"/>
      <c r="BL19" s="82"/>
      <c r="BM19" s="47"/>
      <c r="BN19" s="82"/>
      <c r="BO19" s="82"/>
      <c r="BP19" s="8"/>
    </row>
    <row r="20" spans="2:68" ht="12.75" customHeight="1" thickBot="1" x14ac:dyDescent="0.3">
      <c r="B20" s="271"/>
      <c r="C20" s="23" t="s">
        <v>58</v>
      </c>
      <c r="D20" s="31"/>
      <c r="E20" s="171"/>
      <c r="F20" s="171"/>
      <c r="G20" s="139"/>
      <c r="H20" s="139"/>
      <c r="I20" s="139"/>
      <c r="J20" s="139"/>
      <c r="K20" s="55"/>
      <c r="L20" s="55"/>
      <c r="M20" s="55"/>
      <c r="N20" s="50"/>
      <c r="O20" s="233"/>
      <c r="P20" s="153"/>
      <c r="Q20" s="153"/>
      <c r="R20" s="153"/>
      <c r="S20" s="153"/>
      <c r="T20" s="153"/>
      <c r="U20" s="153"/>
      <c r="V20" s="153"/>
      <c r="W20" s="153"/>
      <c r="X20" s="121"/>
      <c r="Y20" s="209"/>
      <c r="Z20" s="271"/>
      <c r="AA20" s="23" t="s">
        <v>58</v>
      </c>
      <c r="AB20" s="31"/>
      <c r="AC20" s="171"/>
      <c r="AD20" s="171"/>
      <c r="AE20" s="139"/>
      <c r="AF20" s="139"/>
      <c r="AG20" s="139"/>
      <c r="AH20" s="139"/>
      <c r="AI20" s="55"/>
      <c r="AJ20" s="55"/>
      <c r="AK20" s="55"/>
      <c r="AL20" s="50"/>
      <c r="AM20" s="233"/>
      <c r="AN20" s="153"/>
      <c r="AO20" s="153"/>
      <c r="AP20" s="153"/>
      <c r="AQ20" s="153"/>
      <c r="AR20" s="153"/>
      <c r="AS20" s="153"/>
      <c r="AT20" s="153"/>
      <c r="AU20" s="153"/>
      <c r="AV20" s="121"/>
      <c r="AW20" s="88"/>
      <c r="AX20" s="158"/>
      <c r="AY20" s="159"/>
      <c r="AZ20" s="158"/>
      <c r="BA20" s="159"/>
      <c r="BB20" s="158"/>
      <c r="BC20" s="159"/>
      <c r="BD20" s="158"/>
      <c r="BE20" s="159"/>
      <c r="BF20" s="88"/>
      <c r="BJ20" s="11"/>
      <c r="BL20" s="82"/>
      <c r="BM20" s="82"/>
      <c r="BP20" s="8"/>
    </row>
    <row r="21" spans="2:68" ht="13.5" customHeight="1" x14ac:dyDescent="0.25">
      <c r="B21" s="281"/>
      <c r="C21" s="87"/>
      <c r="D21" s="87"/>
      <c r="E21" s="229" t="s">
        <v>52</v>
      </c>
      <c r="F21" s="24"/>
      <c r="G21" s="24"/>
      <c r="H21" s="24"/>
      <c r="I21" s="24"/>
      <c r="J21" s="24"/>
      <c r="K21" s="24"/>
      <c r="L21" s="24"/>
      <c r="M21" s="24"/>
      <c r="N21" s="24"/>
      <c r="O21" s="230"/>
      <c r="P21" s="24"/>
      <c r="Q21" s="24"/>
      <c r="R21" s="24"/>
      <c r="S21" s="25"/>
      <c r="T21" s="25"/>
      <c r="U21" s="25"/>
      <c r="V21" s="25"/>
      <c r="W21" s="25"/>
      <c r="X21" s="26"/>
      <c r="Y21" s="209"/>
      <c r="Z21" s="281"/>
      <c r="AA21" s="87"/>
      <c r="AB21" s="87"/>
      <c r="AC21" s="246" t="s">
        <v>52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30"/>
      <c r="AN21" s="24"/>
      <c r="AO21" s="24"/>
      <c r="AP21" s="24"/>
      <c r="AQ21" s="25"/>
      <c r="AR21" s="25"/>
      <c r="AS21" s="25"/>
      <c r="AT21" s="25"/>
      <c r="AU21" s="25"/>
      <c r="AV21" s="26"/>
      <c r="AW21" s="88"/>
      <c r="AX21" s="160" t="e">
        <f t="shared" ref="AX21:BE21" si="5">GEOMEAN(AX16:AX19)</f>
        <v>#DIV/0!</v>
      </c>
      <c r="AY21" s="161" t="e">
        <f t="shared" si="5"/>
        <v>#DIV/0!</v>
      </c>
      <c r="AZ21" s="160" t="e">
        <f t="shared" si="5"/>
        <v>#DIV/0!</v>
      </c>
      <c r="BA21" s="161" t="e">
        <f t="shared" si="5"/>
        <v>#DIV/0!</v>
      </c>
      <c r="BB21" s="160" t="e">
        <f t="shared" si="5"/>
        <v>#DIV/0!</v>
      </c>
      <c r="BC21" s="161" t="e">
        <f t="shared" si="5"/>
        <v>#DIV/0!</v>
      </c>
      <c r="BD21" s="160" t="e">
        <f t="shared" si="5"/>
        <v>#DIV/0!</v>
      </c>
      <c r="BE21" s="161" t="e">
        <f t="shared" si="5"/>
        <v>#DIV/0!</v>
      </c>
      <c r="BF21" s="208"/>
      <c r="BH21" s="267"/>
      <c r="BI21" s="268"/>
      <c r="BJ21" s="268"/>
    </row>
    <row r="22" spans="2:68" s="7" customFormat="1" ht="13.5" customHeight="1" thickBot="1" x14ac:dyDescent="0.3">
      <c r="B22" s="282"/>
      <c r="C22" s="27"/>
      <c r="D22" s="27"/>
      <c r="E22" s="231" t="s">
        <v>77</v>
      </c>
      <c r="F22" s="28"/>
      <c r="G22" s="28"/>
      <c r="H22" s="28"/>
      <c r="I22" s="28"/>
      <c r="J22" s="28"/>
      <c r="K22" s="28"/>
      <c r="L22" s="28"/>
      <c r="M22" s="28"/>
      <c r="N22" s="28"/>
      <c r="O22" s="232"/>
      <c r="P22" s="28"/>
      <c r="Q22" s="28"/>
      <c r="R22" s="28"/>
      <c r="S22" s="29"/>
      <c r="T22" s="29"/>
      <c r="U22" s="29"/>
      <c r="V22" s="29"/>
      <c r="W22" s="29"/>
      <c r="X22" s="30"/>
      <c r="Y22" s="209"/>
      <c r="Z22" s="282"/>
      <c r="AA22" s="27"/>
      <c r="AB22" s="27"/>
      <c r="AC22" s="247" t="s">
        <v>77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32"/>
      <c r="AN22" s="28"/>
      <c r="AO22" s="28"/>
      <c r="AP22" s="28"/>
      <c r="AQ22" s="29"/>
      <c r="AR22" s="29"/>
      <c r="AS22" s="29"/>
      <c r="AT22" s="29"/>
      <c r="AU22" s="29"/>
      <c r="AV22" s="30"/>
      <c r="AW22" s="209"/>
      <c r="AX22" s="209"/>
      <c r="AY22" s="84"/>
      <c r="AZ22" s="84"/>
      <c r="BA22" s="84"/>
      <c r="BB22" s="209"/>
      <c r="BC22" s="209"/>
      <c r="BD22" s="209"/>
      <c r="BE22" s="209"/>
      <c r="BF22" s="209"/>
      <c r="BL22" s="82"/>
      <c r="BM22" s="48"/>
    </row>
    <row r="23" spans="2:68" ht="13.5" customHeight="1" x14ac:dyDescent="0.15">
      <c r="B23" s="283"/>
      <c r="C23" s="19" t="s">
        <v>54</v>
      </c>
      <c r="D23" s="20"/>
      <c r="E23" s="105" t="str">
        <f>IF(ISBLANK(E16),"",SUM(E16:L16))</f>
        <v/>
      </c>
      <c r="F23" s="50"/>
      <c r="G23" s="50"/>
      <c r="H23" s="50"/>
      <c r="I23" s="50"/>
      <c r="J23" s="50"/>
      <c r="K23" s="50"/>
      <c r="L23" s="50"/>
      <c r="M23" s="50"/>
      <c r="N23" s="50"/>
      <c r="O23" s="233"/>
      <c r="P23" s="50"/>
      <c r="Q23" s="50"/>
      <c r="R23" s="50"/>
      <c r="S23" s="140"/>
      <c r="T23" s="140"/>
      <c r="U23" s="140"/>
      <c r="V23" s="140"/>
      <c r="W23" s="140"/>
      <c r="X23" s="51"/>
      <c r="Y23" s="209"/>
      <c r="Z23" s="283"/>
      <c r="AA23" s="19" t="s">
        <v>54</v>
      </c>
      <c r="AB23" s="20"/>
      <c r="AC23" s="105" t="str">
        <f>IF(ISBLANK(AC16),"",SUM(AC16:AJ16))</f>
        <v/>
      </c>
      <c r="AD23" s="50"/>
      <c r="AE23" s="50"/>
      <c r="AF23" s="50"/>
      <c r="AG23" s="50"/>
      <c r="AH23" s="50"/>
      <c r="AI23" s="50"/>
      <c r="AJ23" s="50"/>
      <c r="AK23" s="50"/>
      <c r="AL23" s="50"/>
      <c r="AM23" s="233"/>
      <c r="AN23" s="50"/>
      <c r="AO23" s="50"/>
      <c r="AP23" s="50"/>
      <c r="AQ23" s="140"/>
      <c r="AR23" s="140"/>
      <c r="AS23" s="140"/>
      <c r="AT23" s="140"/>
      <c r="AU23" s="140"/>
      <c r="AV23" s="51"/>
      <c r="AW23" s="88"/>
      <c r="AX23" s="88"/>
      <c r="AY23" s="32"/>
      <c r="AZ23" s="32"/>
      <c r="BA23" s="32"/>
      <c r="BB23" s="88"/>
      <c r="BC23" s="88"/>
      <c r="BD23" s="88"/>
      <c r="BE23" s="88"/>
      <c r="BF23" s="88"/>
      <c r="BJ23" s="11"/>
    </row>
    <row r="24" spans="2:68" x14ac:dyDescent="0.15">
      <c r="B24" s="271"/>
      <c r="C24" s="21" t="s">
        <v>55</v>
      </c>
      <c r="D24" s="22"/>
      <c r="E24" s="105" t="str">
        <f>IF(ISBLANK(E17),"",SUM(E17:L17))</f>
        <v/>
      </c>
      <c r="F24" s="50"/>
      <c r="G24" s="50"/>
      <c r="H24" s="50"/>
      <c r="I24" s="50"/>
      <c r="J24" s="50"/>
      <c r="K24" s="50"/>
      <c r="L24" s="50"/>
      <c r="M24" s="50"/>
      <c r="N24" s="50"/>
      <c r="O24" s="233"/>
      <c r="P24" s="50"/>
      <c r="Q24" s="50"/>
      <c r="R24" s="50"/>
      <c r="S24" s="140"/>
      <c r="T24" s="140"/>
      <c r="U24" s="140"/>
      <c r="V24" s="140"/>
      <c r="W24" s="140"/>
      <c r="X24" s="51"/>
      <c r="Y24" s="209"/>
      <c r="Z24" s="271"/>
      <c r="AA24" s="21" t="s">
        <v>55</v>
      </c>
      <c r="AB24" s="22"/>
      <c r="AC24" s="105" t="str">
        <f>IF(ISBLANK(AC17),"",SUM(AC17:AJ17))</f>
        <v/>
      </c>
      <c r="AD24" s="50"/>
      <c r="AE24" s="50"/>
      <c r="AF24" s="50"/>
      <c r="AG24" s="50"/>
      <c r="AH24" s="50"/>
      <c r="AI24" s="50"/>
      <c r="AJ24" s="50"/>
      <c r="AK24" s="50"/>
      <c r="AL24" s="50"/>
      <c r="AM24" s="233"/>
      <c r="AN24" s="50"/>
      <c r="AO24" s="50"/>
      <c r="AP24" s="50"/>
      <c r="AQ24" s="140"/>
      <c r="AR24" s="140"/>
      <c r="AS24" s="140"/>
      <c r="AT24" s="140"/>
      <c r="AU24" s="140"/>
      <c r="AV24" s="51"/>
      <c r="AW24" s="88"/>
      <c r="AX24" s="88"/>
      <c r="AY24" s="32"/>
      <c r="AZ24" s="32"/>
      <c r="BA24" s="32"/>
      <c r="BB24" s="88"/>
      <c r="BC24" s="88"/>
      <c r="BD24" s="88"/>
      <c r="BE24" s="88"/>
      <c r="BF24" s="88"/>
      <c r="BJ24" s="11"/>
      <c r="BL24" s="7"/>
      <c r="BM24" s="7"/>
    </row>
    <row r="25" spans="2:68" x14ac:dyDescent="0.15">
      <c r="B25" s="271"/>
      <c r="C25" s="21" t="s">
        <v>56</v>
      </c>
      <c r="D25" s="22"/>
      <c r="E25" s="105" t="str">
        <f>IF(ISBLANK(E18),"",SUM(E18:L18))</f>
        <v/>
      </c>
      <c r="F25" s="50"/>
      <c r="G25" s="50"/>
      <c r="H25" s="50"/>
      <c r="I25" s="50"/>
      <c r="J25" s="50"/>
      <c r="K25" s="50"/>
      <c r="L25" s="50"/>
      <c r="M25" s="50"/>
      <c r="N25" s="50"/>
      <c r="O25" s="233"/>
      <c r="P25" s="50"/>
      <c r="Q25" s="50"/>
      <c r="R25" s="50"/>
      <c r="S25" s="140"/>
      <c r="T25" s="140"/>
      <c r="U25" s="140"/>
      <c r="V25" s="140"/>
      <c r="W25" s="140"/>
      <c r="X25" s="51"/>
      <c r="Y25" s="209"/>
      <c r="Z25" s="271"/>
      <c r="AA25" s="21" t="s">
        <v>56</v>
      </c>
      <c r="AB25" s="22"/>
      <c r="AC25" s="105" t="str">
        <f>IF(ISBLANK(AC18),"",SUM(AC18:AJ18))</f>
        <v/>
      </c>
      <c r="AD25" s="50"/>
      <c r="AE25" s="50"/>
      <c r="AF25" s="50"/>
      <c r="AG25" s="50"/>
      <c r="AH25" s="50"/>
      <c r="AI25" s="50"/>
      <c r="AJ25" s="50"/>
      <c r="AK25" s="50"/>
      <c r="AL25" s="50"/>
      <c r="AM25" s="233"/>
      <c r="AN25" s="50"/>
      <c r="AO25" s="50"/>
      <c r="AP25" s="50"/>
      <c r="AQ25" s="140"/>
      <c r="AR25" s="140"/>
      <c r="AS25" s="140"/>
      <c r="AT25" s="140"/>
      <c r="AU25" s="140"/>
      <c r="AV25" s="51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J25" s="11"/>
    </row>
    <row r="26" spans="2:68" x14ac:dyDescent="0.15">
      <c r="B26" s="271"/>
      <c r="C26" s="21" t="s">
        <v>57</v>
      </c>
      <c r="D26" s="22"/>
      <c r="E26" s="105" t="str">
        <f>IF(ISBLANK(E19),"",SUM(E19:L19))</f>
        <v/>
      </c>
      <c r="F26" s="50"/>
      <c r="G26" s="50"/>
      <c r="H26" s="50"/>
      <c r="I26" s="50"/>
      <c r="J26" s="50"/>
      <c r="K26" s="50"/>
      <c r="L26" s="50"/>
      <c r="M26" s="50"/>
      <c r="N26" s="50"/>
      <c r="O26" s="233"/>
      <c r="P26" s="50"/>
      <c r="Q26" s="50"/>
      <c r="R26" s="50"/>
      <c r="S26" s="140"/>
      <c r="T26" s="140"/>
      <c r="U26" s="140"/>
      <c r="V26" s="140"/>
      <c r="W26" s="140"/>
      <c r="X26" s="51"/>
      <c r="Y26" s="209"/>
      <c r="Z26" s="271"/>
      <c r="AA26" s="21" t="s">
        <v>57</v>
      </c>
      <c r="AB26" s="22"/>
      <c r="AC26" s="105" t="str">
        <f>IF(ISBLANK(AC19),"",SUM(AC19:AJ19))</f>
        <v/>
      </c>
      <c r="AD26" s="50"/>
      <c r="AE26" s="50"/>
      <c r="AF26" s="50"/>
      <c r="AG26" s="50"/>
      <c r="AH26" s="50"/>
      <c r="AI26" s="50"/>
      <c r="AJ26" s="50"/>
      <c r="AK26" s="50"/>
      <c r="AL26" s="50"/>
      <c r="AM26" s="233"/>
      <c r="AN26" s="50"/>
      <c r="AO26" s="50"/>
      <c r="AP26" s="50"/>
      <c r="AQ26" s="140"/>
      <c r="AR26" s="140"/>
      <c r="AS26" s="140"/>
      <c r="AT26" s="140"/>
      <c r="AU26" s="140"/>
      <c r="AV26" s="51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J26" s="11"/>
    </row>
    <row r="27" spans="2:68" ht="13.5" customHeight="1" thickBot="1" x14ac:dyDescent="0.2">
      <c r="B27" s="273"/>
      <c r="C27" s="23" t="s">
        <v>58</v>
      </c>
      <c r="D27" s="31"/>
      <c r="E27" s="172" t="str">
        <f>IF(ISBLANK(E20),"",SUM(E20:L20))</f>
        <v/>
      </c>
      <c r="F27" s="52"/>
      <c r="G27" s="52"/>
      <c r="H27" s="52"/>
      <c r="I27" s="52"/>
      <c r="J27" s="52"/>
      <c r="K27" s="52"/>
      <c r="L27" s="52"/>
      <c r="M27" s="52"/>
      <c r="N27" s="52"/>
      <c r="O27" s="248"/>
      <c r="P27" s="52"/>
      <c r="Q27" s="52"/>
      <c r="R27" s="52"/>
      <c r="S27" s="141"/>
      <c r="T27" s="141"/>
      <c r="U27" s="141"/>
      <c r="V27" s="141"/>
      <c r="W27" s="141"/>
      <c r="X27" s="53"/>
      <c r="Y27" s="209"/>
      <c r="Z27" s="273"/>
      <c r="AA27" s="23" t="s">
        <v>58</v>
      </c>
      <c r="AB27" s="31"/>
      <c r="AC27" s="172" t="str">
        <f>IF(ISBLANK(AC20),"",SUM(AC20:AJ20))</f>
        <v/>
      </c>
      <c r="AD27" s="52"/>
      <c r="AE27" s="52"/>
      <c r="AF27" s="52"/>
      <c r="AG27" s="52"/>
      <c r="AH27" s="52"/>
      <c r="AI27" s="52"/>
      <c r="AJ27" s="52"/>
      <c r="AK27" s="52"/>
      <c r="AL27" s="52"/>
      <c r="AM27" s="248"/>
      <c r="AN27" s="52"/>
      <c r="AO27" s="52"/>
      <c r="AP27" s="52"/>
      <c r="AQ27" s="141"/>
      <c r="AR27" s="141"/>
      <c r="AS27" s="141"/>
      <c r="AT27" s="141"/>
      <c r="AU27" s="141"/>
      <c r="AV27" s="53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J27" s="11"/>
    </row>
    <row r="28" spans="2:68" x14ac:dyDescent="0.15">
      <c r="B28" s="209"/>
      <c r="C28" s="209"/>
      <c r="D28" s="85"/>
      <c r="E28" s="241"/>
      <c r="F28" s="84"/>
      <c r="G28" s="84"/>
      <c r="H28" s="84"/>
      <c r="I28" s="84"/>
      <c r="J28" s="84"/>
      <c r="K28" s="84"/>
      <c r="L28" s="84"/>
      <c r="M28" s="84"/>
      <c r="N28" s="84"/>
      <c r="O28" s="242"/>
      <c r="P28" s="84"/>
      <c r="Q28" s="84"/>
      <c r="R28" s="84"/>
      <c r="S28" s="85"/>
      <c r="T28" s="85"/>
      <c r="U28" s="85"/>
      <c r="V28" s="85"/>
      <c r="W28" s="85"/>
      <c r="X28" s="85"/>
      <c r="Y28" s="209"/>
      <c r="Z28" s="209"/>
      <c r="AA28" s="209"/>
      <c r="AB28" s="85"/>
      <c r="AC28" s="241"/>
      <c r="AD28" s="84"/>
      <c r="AE28" s="84"/>
      <c r="AF28" s="84"/>
      <c r="AG28" s="84"/>
      <c r="AH28" s="84"/>
      <c r="AI28" s="84"/>
      <c r="AJ28" s="84"/>
      <c r="AK28" s="84"/>
      <c r="AL28" s="84"/>
      <c r="AM28" s="242"/>
      <c r="AN28" s="84"/>
      <c r="AO28" s="84"/>
      <c r="AP28" s="84"/>
      <c r="AQ28" s="85"/>
      <c r="AR28" s="85"/>
      <c r="AS28" s="85"/>
      <c r="AT28" s="85"/>
      <c r="AU28" s="85"/>
      <c r="AV28" s="85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J28" s="11"/>
    </row>
    <row r="29" spans="2:68" ht="13.5" customHeight="1" x14ac:dyDescent="0.15"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42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42"/>
      <c r="AN29" s="209"/>
      <c r="AO29" s="209"/>
      <c r="AP29" s="209"/>
      <c r="AQ29" s="209"/>
      <c r="AR29" s="209"/>
      <c r="AS29" s="209"/>
      <c r="AT29" s="209"/>
      <c r="AU29" s="209"/>
      <c r="AV29" s="209"/>
      <c r="AW29" s="88"/>
      <c r="AX29" s="88"/>
      <c r="AY29" s="88"/>
      <c r="AZ29" s="88"/>
      <c r="BA29" s="88"/>
      <c r="BB29" s="88"/>
      <c r="BC29" s="88"/>
      <c r="BD29" s="88"/>
      <c r="BE29" s="88"/>
      <c r="BF29" s="88"/>
    </row>
    <row r="30" spans="2:68" ht="13.5" customHeight="1" thickBot="1" x14ac:dyDescent="0.2">
      <c r="B30" s="209"/>
      <c r="C30" s="209"/>
      <c r="D30" s="209"/>
      <c r="E30" s="241"/>
      <c r="F30" s="209"/>
      <c r="G30" s="209"/>
      <c r="H30" s="209"/>
      <c r="I30" s="209"/>
      <c r="J30" s="209"/>
      <c r="K30" s="209"/>
      <c r="L30" s="209"/>
      <c r="M30" s="209"/>
      <c r="N30" s="209"/>
      <c r="O30" s="242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41"/>
      <c r="AD30" s="166"/>
      <c r="AE30" s="209"/>
      <c r="AF30" s="209"/>
      <c r="AG30" s="209"/>
      <c r="AH30" s="209"/>
      <c r="AI30" s="209"/>
      <c r="AJ30" s="209"/>
      <c r="AK30" s="209"/>
      <c r="AL30" s="209"/>
      <c r="AM30" s="242"/>
      <c r="AN30" s="209"/>
      <c r="AO30" s="209"/>
      <c r="AP30" s="209"/>
      <c r="AQ30" s="209"/>
      <c r="AR30" s="209"/>
      <c r="AS30" s="209"/>
      <c r="AT30" s="209"/>
      <c r="AU30" s="209"/>
      <c r="AV30" s="209"/>
      <c r="AW30" s="88"/>
      <c r="AX30" s="88"/>
      <c r="AY30" s="88"/>
      <c r="AZ30" s="88"/>
      <c r="BA30" s="88"/>
      <c r="BB30" s="88"/>
      <c r="BC30" s="88"/>
      <c r="BD30" s="88"/>
      <c r="BE30" s="88"/>
      <c r="BF30" s="88"/>
    </row>
    <row r="31" spans="2:68" ht="13.5" customHeight="1" thickBot="1" x14ac:dyDescent="0.3">
      <c r="B31" s="18"/>
      <c r="C31" s="274" t="e">
        <f>CONCATENATE("Objective metrics [ ",#REF!," ]")</f>
        <v>#REF!</v>
      </c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6"/>
      <c r="Y31" s="209"/>
      <c r="Z31" s="18"/>
      <c r="AA31" s="274" t="e">
        <f>CONCATENATE("Objective metrics [ ",#REF!," ]")</f>
        <v>#REF!</v>
      </c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6"/>
      <c r="AW31" s="88"/>
      <c r="AX31" s="88"/>
      <c r="AY31" s="280" t="s">
        <v>106</v>
      </c>
      <c r="AZ31" s="260"/>
      <c r="BA31" s="260"/>
      <c r="BB31" s="260"/>
      <c r="BC31" s="126"/>
      <c r="BD31" s="88"/>
      <c r="BE31" s="88"/>
      <c r="BF31" s="88"/>
    </row>
    <row r="32" spans="2:68" ht="13.5" customHeight="1" thickBot="1" x14ac:dyDescent="0.2">
      <c r="B32" s="185" t="s">
        <v>107</v>
      </c>
      <c r="C32" s="87"/>
      <c r="D32" s="87"/>
      <c r="E32" s="209"/>
      <c r="F32" s="24" t="s">
        <v>50</v>
      </c>
      <c r="G32" s="24" t="s">
        <v>61</v>
      </c>
      <c r="H32" s="24" t="s">
        <v>64</v>
      </c>
      <c r="I32" s="24" t="s">
        <v>78</v>
      </c>
      <c r="J32" s="24" t="s">
        <v>79</v>
      </c>
      <c r="K32" s="24" t="s">
        <v>80</v>
      </c>
      <c r="L32" s="97"/>
      <c r="M32" s="97"/>
      <c r="N32" s="24"/>
      <c r="O32" s="230"/>
      <c r="P32" s="24"/>
      <c r="Q32" s="24"/>
      <c r="R32" s="24"/>
      <c r="S32" s="24"/>
      <c r="T32" s="24"/>
      <c r="U32" s="24"/>
      <c r="V32" s="24"/>
      <c r="W32" s="24"/>
      <c r="X32" s="26" t="s">
        <v>75</v>
      </c>
      <c r="Y32" s="209"/>
      <c r="Z32" s="185" t="s">
        <v>107</v>
      </c>
      <c r="AA32" s="87"/>
      <c r="AB32" s="87"/>
      <c r="AC32" s="209"/>
      <c r="AD32" s="24" t="s">
        <v>50</v>
      </c>
      <c r="AE32" s="24" t="s">
        <v>61</v>
      </c>
      <c r="AF32" s="24" t="s">
        <v>64</v>
      </c>
      <c r="AG32" s="24" t="s">
        <v>78</v>
      </c>
      <c r="AH32" s="24" t="s">
        <v>79</v>
      </c>
      <c r="AI32" s="24" t="s">
        <v>80</v>
      </c>
      <c r="AJ32" s="209"/>
      <c r="AK32" s="209"/>
      <c r="AL32" s="24"/>
      <c r="AM32" s="230"/>
      <c r="AN32" s="24"/>
      <c r="AO32" s="24"/>
      <c r="AP32" s="24"/>
      <c r="AQ32" s="24"/>
      <c r="AR32" s="24"/>
      <c r="AS32" s="24"/>
      <c r="AT32" s="24"/>
      <c r="AU32" s="24"/>
      <c r="AV32" s="26" t="s">
        <v>75</v>
      </c>
      <c r="AW32" s="88"/>
      <c r="AX32" s="185" t="s">
        <v>107</v>
      </c>
      <c r="AY32" s="91" t="s">
        <v>50</v>
      </c>
      <c r="AZ32" s="24" t="s">
        <v>61</v>
      </c>
      <c r="BA32" s="24" t="s">
        <v>64</v>
      </c>
      <c r="BB32" s="24" t="s">
        <v>78</v>
      </c>
      <c r="BC32" s="90" t="s">
        <v>79</v>
      </c>
      <c r="BD32" s="84"/>
      <c r="BE32" s="242"/>
      <c r="BF32" s="84"/>
    </row>
    <row r="33" spans="2:64" x14ac:dyDescent="0.15">
      <c r="B33" s="272" t="s">
        <v>108</v>
      </c>
      <c r="C33" s="186" t="s">
        <v>54</v>
      </c>
      <c r="D33" s="187"/>
      <c r="E33" s="188"/>
      <c r="F33" s="189"/>
      <c r="G33" s="189"/>
      <c r="H33" s="189"/>
      <c r="I33" s="190"/>
      <c r="J33" s="190"/>
      <c r="K33" s="190"/>
      <c r="L33" s="249"/>
      <c r="M33" s="249"/>
      <c r="N33" s="188"/>
      <c r="O33" s="191"/>
      <c r="P33" s="188"/>
      <c r="Q33" s="188"/>
      <c r="R33" s="188"/>
      <c r="S33" s="191"/>
      <c r="T33" s="191"/>
      <c r="U33" s="191"/>
      <c r="V33" s="191"/>
      <c r="W33" s="191"/>
      <c r="X33" s="192"/>
      <c r="Y33" s="209"/>
      <c r="Z33" s="272" t="s">
        <v>108</v>
      </c>
      <c r="AA33" s="186" t="s">
        <v>54</v>
      </c>
      <c r="AB33" s="187"/>
      <c r="AC33" s="188"/>
      <c r="AD33" s="189"/>
      <c r="AE33" s="189"/>
      <c r="AF33" s="189"/>
      <c r="AG33" s="190"/>
      <c r="AH33" s="190"/>
      <c r="AI33" s="190"/>
      <c r="AJ33" s="249"/>
      <c r="AK33" s="249"/>
      <c r="AL33" s="188"/>
      <c r="AM33" s="191"/>
      <c r="AN33" s="188"/>
      <c r="AO33" s="188"/>
      <c r="AP33" s="188"/>
      <c r="AQ33" s="191"/>
      <c r="AR33" s="191"/>
      <c r="AS33" s="191"/>
      <c r="AT33" s="191"/>
      <c r="AU33" s="191"/>
      <c r="AV33" s="192"/>
      <c r="AW33" s="88"/>
      <c r="AX33" s="272" t="s">
        <v>108</v>
      </c>
      <c r="AY33" s="98" t="str">
        <f t="shared" ref="AY33:BC37" si="6">IF(OR(AD33="",F33=""),"",AD33-F33)</f>
        <v/>
      </c>
      <c r="AZ33" s="89" t="str">
        <f t="shared" si="6"/>
        <v/>
      </c>
      <c r="BA33" s="89" t="str">
        <f t="shared" si="6"/>
        <v/>
      </c>
      <c r="BB33" s="89" t="str">
        <f t="shared" si="6"/>
        <v/>
      </c>
      <c r="BC33" s="99" t="str">
        <f t="shared" si="6"/>
        <v/>
      </c>
      <c r="BD33" s="34"/>
      <c r="BE33" s="34" t="str">
        <f t="shared" ref="BE33:BF37" si="7">IF(OR(AJ33="",L33=""),"",AJ33-L33)</f>
        <v/>
      </c>
      <c r="BF33" s="34" t="str">
        <f t="shared" si="7"/>
        <v/>
      </c>
      <c r="BJ33" s="11"/>
      <c r="BL33" s="11"/>
    </row>
    <row r="34" spans="2:64" ht="13.5" customHeight="1" x14ac:dyDescent="0.15">
      <c r="B34" s="271"/>
      <c r="C34" s="21" t="s">
        <v>55</v>
      </c>
      <c r="D34" s="150"/>
      <c r="E34" s="50"/>
      <c r="F34" s="151"/>
      <c r="G34" s="151"/>
      <c r="H34" s="151"/>
      <c r="I34" s="55"/>
      <c r="J34" s="55"/>
      <c r="K34" s="55"/>
      <c r="L34" s="250"/>
      <c r="M34" s="250"/>
      <c r="N34" s="50"/>
      <c r="O34" s="22"/>
      <c r="P34" s="50"/>
      <c r="Q34" s="50"/>
      <c r="R34" s="50"/>
      <c r="S34" s="22"/>
      <c r="T34" s="22"/>
      <c r="U34" s="22"/>
      <c r="V34" s="22"/>
      <c r="W34" s="22"/>
      <c r="X34" s="108"/>
      <c r="Y34" s="209"/>
      <c r="Z34" s="271"/>
      <c r="AA34" s="21" t="s">
        <v>55</v>
      </c>
      <c r="AB34" s="150"/>
      <c r="AC34" s="50"/>
      <c r="AD34" s="151"/>
      <c r="AE34" s="151"/>
      <c r="AF34" s="151"/>
      <c r="AG34" s="55"/>
      <c r="AH34" s="55"/>
      <c r="AI34" s="55"/>
      <c r="AJ34" s="250"/>
      <c r="AK34" s="250"/>
      <c r="AL34" s="50"/>
      <c r="AM34" s="22"/>
      <c r="AN34" s="50"/>
      <c r="AO34" s="50"/>
      <c r="AP34" s="50"/>
      <c r="AQ34" s="22"/>
      <c r="AR34" s="22"/>
      <c r="AS34" s="22"/>
      <c r="AT34" s="22"/>
      <c r="AU34" s="22"/>
      <c r="AV34" s="108"/>
      <c r="AW34" s="88"/>
      <c r="AX34" s="271"/>
      <c r="AY34" s="78" t="str">
        <f t="shared" si="6"/>
        <v/>
      </c>
      <c r="AZ34" s="100" t="str">
        <f t="shared" si="6"/>
        <v/>
      </c>
      <c r="BA34" s="100" t="str">
        <f t="shared" si="6"/>
        <v/>
      </c>
      <c r="BB34" s="100" t="str">
        <f t="shared" si="6"/>
        <v/>
      </c>
      <c r="BC34" s="79" t="str">
        <f t="shared" si="6"/>
        <v/>
      </c>
      <c r="BD34" s="34"/>
      <c r="BE34" s="34" t="str">
        <f t="shared" si="7"/>
        <v/>
      </c>
      <c r="BF34" s="34" t="str">
        <f t="shared" si="7"/>
        <v/>
      </c>
      <c r="BJ34" s="11"/>
      <c r="BL34" s="11"/>
    </row>
    <row r="35" spans="2:64" ht="13.5" customHeight="1" x14ac:dyDescent="0.15">
      <c r="B35" s="271"/>
      <c r="C35" s="21" t="s">
        <v>56</v>
      </c>
      <c r="D35" s="150"/>
      <c r="E35" s="50"/>
      <c r="F35" s="151"/>
      <c r="G35" s="151"/>
      <c r="H35" s="151"/>
      <c r="I35" s="55"/>
      <c r="J35" s="55"/>
      <c r="K35" s="55"/>
      <c r="L35" s="250"/>
      <c r="M35" s="250"/>
      <c r="N35" s="50"/>
      <c r="O35" s="22"/>
      <c r="P35" s="50"/>
      <c r="Q35" s="50"/>
      <c r="R35" s="50"/>
      <c r="S35" s="22"/>
      <c r="T35" s="22"/>
      <c r="U35" s="22"/>
      <c r="V35" s="22"/>
      <c r="W35" s="22"/>
      <c r="X35" s="108"/>
      <c r="Y35" s="209"/>
      <c r="Z35" s="271"/>
      <c r="AA35" s="21" t="s">
        <v>56</v>
      </c>
      <c r="AB35" s="150"/>
      <c r="AC35" s="50"/>
      <c r="AD35" s="151"/>
      <c r="AE35" s="151"/>
      <c r="AF35" s="151"/>
      <c r="AG35" s="55"/>
      <c r="AH35" s="55"/>
      <c r="AI35" s="55"/>
      <c r="AJ35" s="250"/>
      <c r="AK35" s="250"/>
      <c r="AL35" s="50"/>
      <c r="AM35" s="22"/>
      <c r="AN35" s="50"/>
      <c r="AO35" s="50"/>
      <c r="AP35" s="50"/>
      <c r="AQ35" s="22"/>
      <c r="AR35" s="22"/>
      <c r="AS35" s="22"/>
      <c r="AT35" s="22"/>
      <c r="AU35" s="22"/>
      <c r="AV35" s="108"/>
      <c r="AW35" s="88"/>
      <c r="AX35" s="271"/>
      <c r="AY35" s="78" t="str">
        <f t="shared" si="6"/>
        <v/>
      </c>
      <c r="AZ35" s="100" t="str">
        <f t="shared" si="6"/>
        <v/>
      </c>
      <c r="BA35" s="100" t="str">
        <f t="shared" si="6"/>
        <v/>
      </c>
      <c r="BB35" s="100" t="str">
        <f t="shared" si="6"/>
        <v/>
      </c>
      <c r="BC35" s="79" t="str">
        <f t="shared" si="6"/>
        <v/>
      </c>
      <c r="BD35" s="34"/>
      <c r="BE35" s="34" t="str">
        <f t="shared" si="7"/>
        <v/>
      </c>
      <c r="BF35" s="34" t="str">
        <f t="shared" si="7"/>
        <v/>
      </c>
      <c r="BJ35" s="11"/>
      <c r="BL35" s="11"/>
    </row>
    <row r="36" spans="2:64" ht="13.5" customHeight="1" x14ac:dyDescent="0.15">
      <c r="B36" s="271"/>
      <c r="C36" s="21" t="s">
        <v>57</v>
      </c>
      <c r="D36" s="150"/>
      <c r="E36" s="50"/>
      <c r="F36" s="151"/>
      <c r="G36" s="151"/>
      <c r="H36" s="151"/>
      <c r="I36" s="55"/>
      <c r="J36" s="55"/>
      <c r="K36" s="55"/>
      <c r="L36" s="250"/>
      <c r="M36" s="250"/>
      <c r="N36" s="50"/>
      <c r="O36" s="22"/>
      <c r="P36" s="50"/>
      <c r="Q36" s="50"/>
      <c r="R36" s="50"/>
      <c r="S36" s="22"/>
      <c r="T36" s="22"/>
      <c r="U36" s="22"/>
      <c r="V36" s="22"/>
      <c r="W36" s="22"/>
      <c r="X36" s="108"/>
      <c r="Y36" s="209"/>
      <c r="Z36" s="271"/>
      <c r="AA36" s="21" t="s">
        <v>57</v>
      </c>
      <c r="AB36" s="150"/>
      <c r="AC36" s="50"/>
      <c r="AD36" s="151"/>
      <c r="AE36" s="151"/>
      <c r="AF36" s="151"/>
      <c r="AG36" s="55"/>
      <c r="AH36" s="55"/>
      <c r="AI36" s="55"/>
      <c r="AJ36" s="250"/>
      <c r="AK36" s="250"/>
      <c r="AL36" s="50"/>
      <c r="AM36" s="22"/>
      <c r="AN36" s="50"/>
      <c r="AO36" s="50"/>
      <c r="AP36" s="50"/>
      <c r="AQ36" s="22"/>
      <c r="AR36" s="22"/>
      <c r="AS36" s="22"/>
      <c r="AT36" s="22"/>
      <c r="AU36" s="22"/>
      <c r="AV36" s="108"/>
      <c r="AW36" s="88"/>
      <c r="AX36" s="271"/>
      <c r="AY36" s="78" t="str">
        <f t="shared" si="6"/>
        <v/>
      </c>
      <c r="AZ36" s="100" t="str">
        <f t="shared" si="6"/>
        <v/>
      </c>
      <c r="BA36" s="100" t="str">
        <f t="shared" si="6"/>
        <v/>
      </c>
      <c r="BB36" s="100" t="str">
        <f t="shared" si="6"/>
        <v/>
      </c>
      <c r="BC36" s="79" t="str">
        <f t="shared" si="6"/>
        <v/>
      </c>
      <c r="BD36" s="34"/>
      <c r="BE36" s="34" t="str">
        <f t="shared" si="7"/>
        <v/>
      </c>
      <c r="BF36" s="34" t="str">
        <f t="shared" si="7"/>
        <v/>
      </c>
      <c r="BJ36" s="11"/>
      <c r="BL36" s="11"/>
    </row>
    <row r="37" spans="2:64" ht="13.5" customHeight="1" thickBot="1" x14ac:dyDescent="0.2">
      <c r="B37" s="273"/>
      <c r="C37" s="23" t="s">
        <v>58</v>
      </c>
      <c r="D37" s="35"/>
      <c r="E37" s="52"/>
      <c r="F37" s="193"/>
      <c r="G37" s="193"/>
      <c r="H37" s="193"/>
      <c r="I37" s="170"/>
      <c r="J37" s="170"/>
      <c r="K37" s="170"/>
      <c r="L37" s="251"/>
      <c r="M37" s="251"/>
      <c r="N37" s="52"/>
      <c r="O37" s="31"/>
      <c r="P37" s="52"/>
      <c r="Q37" s="52"/>
      <c r="R37" s="52"/>
      <c r="S37" s="31"/>
      <c r="T37" s="31"/>
      <c r="U37" s="31"/>
      <c r="V37" s="31"/>
      <c r="W37" s="31"/>
      <c r="X37" s="195"/>
      <c r="Y37" s="209"/>
      <c r="Z37" s="273"/>
      <c r="AA37" s="23" t="s">
        <v>58</v>
      </c>
      <c r="AB37" s="35"/>
      <c r="AC37" s="52"/>
      <c r="AD37" s="193"/>
      <c r="AE37" s="193"/>
      <c r="AF37" s="193"/>
      <c r="AG37" s="170"/>
      <c r="AH37" s="170"/>
      <c r="AI37" s="170"/>
      <c r="AJ37" s="251"/>
      <c r="AK37" s="251"/>
      <c r="AL37" s="52"/>
      <c r="AM37" s="31"/>
      <c r="AN37" s="52"/>
      <c r="AO37" s="52"/>
      <c r="AP37" s="52"/>
      <c r="AQ37" s="31"/>
      <c r="AR37" s="31"/>
      <c r="AS37" s="31"/>
      <c r="AT37" s="31"/>
      <c r="AU37" s="31"/>
      <c r="AV37" s="195"/>
      <c r="AW37" s="88"/>
      <c r="AX37" s="273"/>
      <c r="AY37" s="101" t="str">
        <f t="shared" si="6"/>
        <v/>
      </c>
      <c r="AZ37" s="102" t="str">
        <f t="shared" si="6"/>
        <v/>
      </c>
      <c r="BA37" s="102" t="str">
        <f t="shared" si="6"/>
        <v/>
      </c>
      <c r="BB37" s="102" t="str">
        <f t="shared" si="6"/>
        <v/>
      </c>
      <c r="BC37" s="103" t="str">
        <f t="shared" si="6"/>
        <v/>
      </c>
      <c r="BD37" s="34"/>
      <c r="BE37" s="34" t="str">
        <f t="shared" si="7"/>
        <v/>
      </c>
      <c r="BF37" s="34" t="str">
        <f t="shared" si="7"/>
        <v/>
      </c>
      <c r="BJ37" s="11"/>
      <c r="BL37" s="11"/>
    </row>
    <row r="57" spans="2:10" x14ac:dyDescent="0.15">
      <c r="B57" s="286"/>
      <c r="C57" s="209"/>
      <c r="D57" s="209"/>
      <c r="E57" s="84"/>
      <c r="F57" s="130"/>
      <c r="G57" s="130"/>
      <c r="H57" s="130"/>
      <c r="I57" s="84"/>
      <c r="J57" s="84"/>
    </row>
    <row r="58" spans="2:10" x14ac:dyDescent="0.15">
      <c r="B58" s="268"/>
      <c r="C58" s="209"/>
      <c r="D58" s="209"/>
      <c r="E58" s="84"/>
      <c r="F58" s="130"/>
      <c r="G58" s="130"/>
      <c r="H58" s="130"/>
      <c r="I58" s="84"/>
      <c r="J58" s="84"/>
    </row>
    <row r="59" spans="2:10" x14ac:dyDescent="0.15">
      <c r="B59" s="268"/>
      <c r="C59" s="209"/>
      <c r="D59" s="209"/>
      <c r="E59" s="84"/>
      <c r="F59" s="130"/>
      <c r="G59" s="130"/>
      <c r="H59" s="130"/>
      <c r="I59" s="84"/>
      <c r="J59" s="84"/>
    </row>
    <row r="60" spans="2:10" x14ac:dyDescent="0.15">
      <c r="B60" s="268"/>
      <c r="C60" s="209"/>
      <c r="D60" s="209"/>
      <c r="E60" s="84"/>
      <c r="F60" s="130"/>
      <c r="G60" s="130"/>
      <c r="H60" s="130"/>
      <c r="I60" s="84"/>
      <c r="J60" s="84"/>
    </row>
    <row r="61" spans="2:10" x14ac:dyDescent="0.15">
      <c r="B61" s="268"/>
      <c r="C61" s="209"/>
      <c r="D61" s="209"/>
      <c r="E61" s="84"/>
      <c r="F61" s="130"/>
      <c r="G61" s="130"/>
      <c r="H61" s="130"/>
      <c r="I61" s="84"/>
      <c r="J61" s="84"/>
    </row>
    <row r="62" spans="2:10" x14ac:dyDescent="0.15">
      <c r="B62" s="286"/>
      <c r="C62" s="209"/>
      <c r="D62" s="209"/>
      <c r="E62" s="84"/>
      <c r="F62" s="130"/>
      <c r="G62" s="130"/>
      <c r="H62" s="130"/>
      <c r="I62" s="130"/>
      <c r="J62" s="130"/>
    </row>
    <row r="63" spans="2:10" x14ac:dyDescent="0.15">
      <c r="B63" s="268"/>
      <c r="C63" s="209"/>
      <c r="D63" s="209"/>
      <c r="E63" s="84"/>
      <c r="F63" s="130"/>
      <c r="G63" s="130"/>
      <c r="H63" s="130"/>
      <c r="I63" s="130"/>
      <c r="J63" s="130"/>
    </row>
    <row r="64" spans="2:10" x14ac:dyDescent="0.15">
      <c r="B64" s="268"/>
      <c r="C64" s="209"/>
      <c r="D64" s="209"/>
      <c r="E64" s="84"/>
      <c r="F64" s="130"/>
      <c r="G64" s="130"/>
      <c r="H64" s="130"/>
      <c r="I64" s="130"/>
      <c r="J64" s="130"/>
    </row>
    <row r="65" spans="2:10" x14ac:dyDescent="0.15">
      <c r="B65" s="268"/>
      <c r="C65" s="209"/>
      <c r="D65" s="209"/>
      <c r="E65" s="84"/>
      <c r="F65" s="130"/>
      <c r="G65" s="130"/>
      <c r="H65" s="130"/>
      <c r="I65" s="130"/>
      <c r="J65" s="130"/>
    </row>
    <row r="66" spans="2:10" x14ac:dyDescent="0.15">
      <c r="B66" s="268"/>
      <c r="C66" s="209"/>
      <c r="D66" s="209"/>
      <c r="E66" s="84"/>
      <c r="F66" s="130"/>
      <c r="G66" s="130"/>
      <c r="H66" s="130"/>
      <c r="I66" s="130"/>
      <c r="J66" s="130"/>
    </row>
    <row r="67" spans="2:10" x14ac:dyDescent="0.15">
      <c r="B67" s="286"/>
      <c r="C67" s="209"/>
      <c r="D67" s="209"/>
      <c r="E67" s="84"/>
      <c r="F67" s="130"/>
      <c r="G67" s="130"/>
      <c r="H67" s="130"/>
      <c r="I67" s="130"/>
      <c r="J67" s="130"/>
    </row>
    <row r="68" spans="2:10" x14ac:dyDescent="0.15">
      <c r="B68" s="268"/>
      <c r="C68" s="209"/>
      <c r="D68" s="209"/>
      <c r="E68" s="84"/>
      <c r="F68" s="130"/>
      <c r="G68" s="130"/>
      <c r="H68" s="130"/>
      <c r="I68" s="130"/>
      <c r="J68" s="130"/>
    </row>
    <row r="69" spans="2:10" x14ac:dyDescent="0.15">
      <c r="B69" s="268"/>
      <c r="C69" s="209"/>
      <c r="D69" s="209"/>
      <c r="E69" s="84"/>
      <c r="F69" s="130"/>
      <c r="G69" s="130"/>
      <c r="H69" s="130"/>
      <c r="I69" s="130"/>
      <c r="J69" s="130"/>
    </row>
    <row r="70" spans="2:10" x14ac:dyDescent="0.15">
      <c r="B70" s="268"/>
      <c r="C70" s="209"/>
      <c r="D70" s="209"/>
      <c r="E70" s="84"/>
      <c r="F70" s="130"/>
      <c r="G70" s="130"/>
      <c r="H70" s="130"/>
      <c r="I70" s="130"/>
      <c r="J70" s="130"/>
    </row>
    <row r="71" spans="2:10" x14ac:dyDescent="0.15">
      <c r="B71" s="268"/>
      <c r="C71" s="209"/>
      <c r="D71" s="209"/>
      <c r="E71" s="84"/>
      <c r="F71" s="130"/>
      <c r="G71" s="130"/>
      <c r="H71" s="130"/>
      <c r="I71" s="130"/>
      <c r="J71" s="130"/>
    </row>
  </sheetData>
  <mergeCells count="48"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AX33:AX37"/>
    <mergeCell ref="BB14:BC14"/>
    <mergeCell ref="BD14:BE14"/>
    <mergeCell ref="BH3:BN3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2025-08-18T00:36:01Z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